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esarrollo\ImportadorCompSA\Archivos\"/>
    </mc:Choice>
  </mc:AlternateContent>
  <xr:revisionPtr revIDLastSave="0" documentId="13_ncr:1_{986390CC-77E6-4AC2-8BED-AF2FE2B96576}" xr6:coauthVersionLast="47" xr6:coauthVersionMax="47" xr10:uidLastSave="{00000000-0000-0000-0000-000000000000}"/>
  <bookViews>
    <workbookView xWindow="-120" yWindow="-120" windowWidth="29040" windowHeight="15720" tabRatio="567" xr2:uid="{00000000-000D-0000-FFFF-FFFF00000000}"/>
  </bookViews>
  <sheets>
    <sheet name="GASTOS" sheetId="1" r:id="rId1"/>
    <sheet name="SAPROV (2)" sheetId="4" r:id="rId2"/>
    <sheet name="TASA" sheetId="2" r:id="rId3"/>
  </sheets>
  <definedNames>
    <definedName name="_xlnm._FilterDatabase" localSheetId="1" hidden="1">'SAPROV (2)'!$I$1:$J$225</definedName>
    <definedName name="DatosExternos_1" localSheetId="1" hidden="1">'SAPROV (2)'!$A$1:$B$76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4" i="1" l="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F1169" i="1"/>
  <c r="I1169" i="1"/>
  <c r="M1169" i="1"/>
  <c r="Q1169" i="1"/>
  <c r="F1168" i="1"/>
  <c r="I1168" i="1"/>
  <c r="M1168" i="1"/>
  <c r="Q1168" i="1"/>
  <c r="F1167" i="1"/>
  <c r="I1167" i="1"/>
  <c r="M1167" i="1"/>
  <c r="P1167" i="1"/>
  <c r="Q1167" i="1" s="1"/>
  <c r="F1166" i="1"/>
  <c r="I1166" i="1"/>
  <c r="M1166" i="1"/>
  <c r="P1166" i="1"/>
  <c r="Q1166" i="1" s="1"/>
  <c r="F1165" i="1"/>
  <c r="I1165" i="1"/>
  <c r="M1165" i="1"/>
  <c r="P1165" i="1"/>
  <c r="Q1165" i="1" s="1"/>
  <c r="F1164" i="1"/>
  <c r="I1164" i="1"/>
  <c r="M1164" i="1"/>
  <c r="P1164" i="1"/>
  <c r="Q1164" i="1" s="1"/>
  <c r="F1163" i="1"/>
  <c r="I1163" i="1"/>
  <c r="M1163" i="1"/>
  <c r="P1163" i="1"/>
  <c r="Q1163" i="1" s="1"/>
  <c r="F1162" i="1"/>
  <c r="I1162" i="1"/>
  <c r="M1162" i="1"/>
  <c r="P1162" i="1"/>
  <c r="Q1162" i="1" s="1"/>
  <c r="F1161" i="1"/>
  <c r="I1161" i="1"/>
  <c r="M1161" i="1"/>
  <c r="P1161" i="1"/>
  <c r="Q1161" i="1" s="1"/>
  <c r="F1160" i="1"/>
  <c r="I1160" i="1"/>
  <c r="M1160" i="1"/>
  <c r="P1160" i="1"/>
  <c r="Q1160" i="1" s="1"/>
  <c r="F1159" i="1" l="1"/>
  <c r="I1159" i="1"/>
  <c r="M1159" i="1"/>
  <c r="P1159" i="1"/>
  <c r="Q1159" i="1" s="1"/>
  <c r="F1155" i="1"/>
  <c r="F1156" i="1"/>
  <c r="F1157" i="1"/>
  <c r="F1158" i="1"/>
  <c r="I1155" i="1"/>
  <c r="I1156" i="1"/>
  <c r="I1157" i="1"/>
  <c r="I1158" i="1"/>
  <c r="M1155" i="1"/>
  <c r="M1156" i="1"/>
  <c r="M1157" i="1"/>
  <c r="M1158" i="1"/>
  <c r="P1155" i="1"/>
  <c r="Q1155" i="1" s="1"/>
  <c r="P1156" i="1"/>
  <c r="P1157" i="1"/>
  <c r="Q1157" i="1" s="1"/>
  <c r="P1158" i="1"/>
  <c r="Q1158" i="1" s="1"/>
  <c r="Q1156" i="1"/>
  <c r="F1153" i="1"/>
  <c r="F1154" i="1"/>
  <c r="I1153" i="1"/>
  <c r="I1154" i="1"/>
  <c r="M1153" i="1"/>
  <c r="M1154" i="1"/>
  <c r="P1153" i="1"/>
  <c r="Q1153" i="1" s="1"/>
  <c r="P1154" i="1"/>
  <c r="Q1154" i="1" s="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F966" i="1"/>
  <c r="F967" i="1"/>
  <c r="I966" i="1"/>
  <c r="I967" i="1"/>
  <c r="M966" i="1"/>
  <c r="M967" i="1"/>
  <c r="P966" i="1"/>
  <c r="Q966" i="1" s="1"/>
  <c r="P967" i="1"/>
  <c r="Q967" i="1" s="1"/>
  <c r="F965" i="1"/>
  <c r="I965" i="1"/>
  <c r="M965" i="1"/>
  <c r="P965" i="1"/>
  <c r="Q965" i="1" s="1"/>
  <c r="F964" i="1"/>
  <c r="I964" i="1"/>
  <c r="M964" i="1"/>
  <c r="P964" i="1"/>
  <c r="Q964" i="1" s="1"/>
  <c r="F963" i="1"/>
  <c r="I963" i="1"/>
  <c r="M963" i="1"/>
  <c r="P963" i="1"/>
  <c r="Q963" i="1" s="1"/>
  <c r="F962" i="1"/>
  <c r="I962" i="1"/>
  <c r="M962" i="1"/>
  <c r="P962" i="1"/>
  <c r="Q962" i="1" s="1"/>
  <c r="F960" i="1"/>
  <c r="F961" i="1"/>
  <c r="I960" i="1"/>
  <c r="I961" i="1"/>
  <c r="M960" i="1"/>
  <c r="M961" i="1"/>
  <c r="P960" i="1"/>
  <c r="Q960" i="1" s="1"/>
  <c r="P961" i="1"/>
  <c r="Q961" i="1" s="1"/>
  <c r="F958" i="1"/>
  <c r="F959" i="1"/>
  <c r="I958" i="1"/>
  <c r="I959" i="1"/>
  <c r="M958" i="1"/>
  <c r="M959" i="1"/>
  <c r="P958" i="1"/>
  <c r="Q958" i="1" s="1"/>
  <c r="P959" i="1"/>
  <c r="Q959" i="1" s="1"/>
  <c r="F956" i="1"/>
  <c r="F957" i="1"/>
  <c r="I956" i="1"/>
  <c r="I957" i="1"/>
  <c r="M956" i="1"/>
  <c r="M957" i="1"/>
  <c r="P956" i="1"/>
  <c r="Q956" i="1" s="1"/>
  <c r="P957" i="1"/>
  <c r="Q957" i="1" s="1"/>
  <c r="F952" i="1"/>
  <c r="F953" i="1"/>
  <c r="F954" i="1"/>
  <c r="F955" i="1"/>
  <c r="I952" i="1"/>
  <c r="I953" i="1"/>
  <c r="I954" i="1"/>
  <c r="I955" i="1"/>
  <c r="M952" i="1"/>
  <c r="M953" i="1"/>
  <c r="M954" i="1"/>
  <c r="M955" i="1"/>
  <c r="P952" i="1"/>
  <c r="Q952" i="1" s="1"/>
  <c r="P953" i="1"/>
  <c r="Q953" i="1" s="1"/>
  <c r="P954" i="1"/>
  <c r="Q954" i="1" s="1"/>
  <c r="P955" i="1"/>
  <c r="Q955" i="1" s="1"/>
  <c r="F950" i="1"/>
  <c r="F951" i="1"/>
  <c r="I950" i="1"/>
  <c r="I951" i="1"/>
  <c r="M950" i="1"/>
  <c r="M951" i="1"/>
  <c r="P950" i="1"/>
  <c r="Q950" i="1" s="1"/>
  <c r="P951" i="1"/>
  <c r="Q951" i="1" s="1"/>
  <c r="F949" i="1"/>
  <c r="I949" i="1"/>
  <c r="M949" i="1"/>
  <c r="P949" i="1"/>
  <c r="Q949" i="1" s="1"/>
  <c r="F948" i="1"/>
  <c r="I948" i="1"/>
  <c r="M948" i="1"/>
  <c r="P948" i="1"/>
  <c r="Q948" i="1" s="1"/>
  <c r="F940" i="1"/>
  <c r="F941" i="1"/>
  <c r="F942" i="1"/>
  <c r="F943" i="1"/>
  <c r="F944" i="1"/>
  <c r="F945" i="1"/>
  <c r="F946" i="1"/>
  <c r="F947" i="1"/>
  <c r="I940" i="1"/>
  <c r="I941" i="1"/>
  <c r="I942" i="1"/>
  <c r="I943" i="1"/>
  <c r="I944" i="1"/>
  <c r="I945" i="1"/>
  <c r="I946" i="1"/>
  <c r="I947" i="1"/>
  <c r="M940" i="1"/>
  <c r="M941" i="1"/>
  <c r="M942" i="1"/>
  <c r="M943" i="1"/>
  <c r="M944" i="1"/>
  <c r="M945" i="1"/>
  <c r="M946" i="1"/>
  <c r="M947" i="1"/>
  <c r="P940" i="1"/>
  <c r="P941" i="1"/>
  <c r="Q941" i="1" s="1"/>
  <c r="P942" i="1"/>
  <c r="Q942" i="1" s="1"/>
  <c r="P943" i="1"/>
  <c r="Q943" i="1" s="1"/>
  <c r="P944" i="1"/>
  <c r="Q944" i="1" s="1"/>
  <c r="P945" i="1"/>
  <c r="Q945" i="1" s="1"/>
  <c r="P946" i="1"/>
  <c r="Q946" i="1" s="1"/>
  <c r="P947" i="1"/>
  <c r="Q947" i="1" s="1"/>
  <c r="Q940" i="1"/>
  <c r="F939" i="1"/>
  <c r="I939" i="1"/>
  <c r="M939" i="1"/>
  <c r="P939" i="1"/>
  <c r="Q939" i="1" s="1"/>
  <c r="F937" i="1"/>
  <c r="F938" i="1"/>
  <c r="I937" i="1"/>
  <c r="I938" i="1"/>
  <c r="M937" i="1"/>
  <c r="M938" i="1"/>
  <c r="P937" i="1"/>
  <c r="Q937" i="1" s="1"/>
  <c r="P938" i="1"/>
  <c r="Q938" i="1" s="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F843" i="1"/>
  <c r="F844" i="1"/>
  <c r="F845" i="1"/>
  <c r="I843" i="1"/>
  <c r="I844" i="1"/>
  <c r="I845" i="1"/>
  <c r="M843" i="1"/>
  <c r="M844" i="1"/>
  <c r="M845" i="1"/>
  <c r="P843" i="1"/>
  <c r="Q843" i="1" s="1"/>
  <c r="P844" i="1"/>
  <c r="Q844" i="1" s="1"/>
  <c r="P845" i="1"/>
  <c r="Q845" i="1" s="1"/>
  <c r="F842" i="1"/>
  <c r="I842" i="1"/>
  <c r="M842" i="1"/>
  <c r="P842" i="1"/>
  <c r="Q842" i="1" s="1"/>
  <c r="F838" i="1"/>
  <c r="F839" i="1"/>
  <c r="F840" i="1"/>
  <c r="F841" i="1"/>
  <c r="I838" i="1"/>
  <c r="I839" i="1"/>
  <c r="I840" i="1"/>
  <c r="I841" i="1"/>
  <c r="M838" i="1"/>
  <c r="M839" i="1"/>
  <c r="M840" i="1"/>
  <c r="M841" i="1"/>
  <c r="P838" i="1"/>
  <c r="Q838" i="1" s="1"/>
  <c r="P839" i="1"/>
  <c r="Q839" i="1" s="1"/>
  <c r="P840" i="1"/>
  <c r="Q840" i="1" s="1"/>
  <c r="P841" i="1"/>
  <c r="Q841" i="1" s="1"/>
  <c r="F836" i="1"/>
  <c r="F837" i="1"/>
  <c r="I836" i="1"/>
  <c r="I837" i="1"/>
  <c r="M836" i="1"/>
  <c r="M837" i="1"/>
  <c r="P836" i="1"/>
  <c r="Q836" i="1" s="1"/>
  <c r="P837" i="1"/>
  <c r="Q837" i="1" s="1"/>
  <c r="F833" i="1"/>
  <c r="F834" i="1"/>
  <c r="F835" i="1"/>
  <c r="I833" i="1"/>
  <c r="I834" i="1"/>
  <c r="I835" i="1"/>
  <c r="M833" i="1"/>
  <c r="M834" i="1"/>
  <c r="M835" i="1"/>
  <c r="Q833" i="1"/>
  <c r="Q834" i="1"/>
  <c r="Q835" i="1"/>
  <c r="F832" i="1"/>
  <c r="I832" i="1"/>
  <c r="M832" i="1"/>
  <c r="P832" i="1"/>
  <c r="Q832" i="1" s="1"/>
  <c r="F830" i="1" l="1"/>
  <c r="F831" i="1"/>
  <c r="I830" i="1"/>
  <c r="I831" i="1"/>
  <c r="M830" i="1"/>
  <c r="M831" i="1"/>
  <c r="P830" i="1"/>
  <c r="Q830" i="1" s="1"/>
  <c r="P831" i="1"/>
  <c r="Q831" i="1" s="1"/>
  <c r="F829" i="1"/>
  <c r="I829" i="1"/>
  <c r="M829" i="1"/>
  <c r="P829" i="1"/>
  <c r="Q829" i="1" s="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P700" i="1"/>
  <c r="Q700" i="1" s="1"/>
  <c r="P701" i="1"/>
  <c r="Q701" i="1" s="1"/>
  <c r="P702" i="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Q702" i="1"/>
  <c r="F699" i="1"/>
  <c r="I699" i="1"/>
  <c r="M699" i="1"/>
  <c r="P699" i="1"/>
  <c r="Q699" i="1" s="1"/>
  <c r="F692" i="1"/>
  <c r="F693" i="1"/>
  <c r="F694" i="1"/>
  <c r="F695" i="1"/>
  <c r="F696" i="1"/>
  <c r="F697" i="1"/>
  <c r="F698" i="1"/>
  <c r="I692" i="1"/>
  <c r="I693" i="1"/>
  <c r="I694" i="1"/>
  <c r="I695" i="1"/>
  <c r="I696" i="1"/>
  <c r="I697" i="1"/>
  <c r="I698" i="1"/>
  <c r="M692" i="1"/>
  <c r="M693" i="1"/>
  <c r="M694" i="1"/>
  <c r="M695" i="1"/>
  <c r="M696" i="1"/>
  <c r="M697" i="1"/>
  <c r="M698" i="1"/>
  <c r="P692" i="1"/>
  <c r="Q692" i="1" s="1"/>
  <c r="P693" i="1"/>
  <c r="Q693" i="1" s="1"/>
  <c r="P694" i="1"/>
  <c r="Q694" i="1" s="1"/>
  <c r="P695" i="1"/>
  <c r="Q695" i="1" s="1"/>
  <c r="P696" i="1"/>
  <c r="Q696" i="1" s="1"/>
  <c r="P697" i="1"/>
  <c r="Q697" i="1" s="1"/>
  <c r="P698" i="1"/>
  <c r="Q698" i="1" s="1"/>
  <c r="F690" i="1"/>
  <c r="F691" i="1"/>
  <c r="I690" i="1"/>
  <c r="I691" i="1"/>
  <c r="M690" i="1"/>
  <c r="M691" i="1"/>
  <c r="P690" i="1"/>
  <c r="Q690" i="1" s="1"/>
  <c r="P691" i="1"/>
  <c r="Q691" i="1" s="1"/>
  <c r="F688" i="1"/>
  <c r="F689" i="1"/>
  <c r="I688" i="1"/>
  <c r="I689" i="1"/>
  <c r="M688" i="1"/>
  <c r="M689" i="1"/>
  <c r="P688" i="1"/>
  <c r="Q688" i="1" s="1"/>
  <c r="P689" i="1"/>
  <c r="Q689" i="1" s="1"/>
  <c r="F687" i="1"/>
  <c r="I687" i="1"/>
  <c r="M687" i="1"/>
  <c r="P687" i="1"/>
  <c r="Q687" i="1" s="1"/>
  <c r="F686" i="1"/>
  <c r="I686" i="1"/>
  <c r="M686" i="1"/>
  <c r="P686" i="1"/>
  <c r="Q686" i="1" s="1"/>
  <c r="F685" i="1"/>
  <c r="I685" i="1"/>
  <c r="M685" i="1"/>
  <c r="P685" i="1"/>
  <c r="Q685" i="1" s="1"/>
  <c r="F684" i="1"/>
  <c r="I684" i="1"/>
  <c r="M684" i="1"/>
  <c r="P684" i="1"/>
  <c r="Q684" i="1" s="1"/>
  <c r="F682" i="1"/>
  <c r="F683" i="1"/>
  <c r="I682" i="1"/>
  <c r="I683" i="1"/>
  <c r="M682" i="1"/>
  <c r="M683" i="1"/>
  <c r="P682" i="1"/>
  <c r="Q682" i="1" s="1"/>
  <c r="P683" i="1"/>
  <c r="Q683" i="1" s="1"/>
  <c r="F681" i="1"/>
  <c r="I681" i="1"/>
  <c r="M681" i="1"/>
  <c r="P681" i="1"/>
  <c r="Q681" i="1" s="1"/>
  <c r="F680" i="1"/>
  <c r="I680" i="1"/>
  <c r="M680" i="1"/>
  <c r="P680" i="1"/>
  <c r="Q680" i="1" s="1"/>
  <c r="F679" i="1"/>
  <c r="I679" i="1"/>
  <c r="M679" i="1"/>
  <c r="P679" i="1"/>
  <c r="Q679" i="1" s="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F591" i="1"/>
  <c r="I591" i="1"/>
  <c r="M591" i="1"/>
  <c r="P591" i="1"/>
  <c r="Q591" i="1" s="1"/>
  <c r="F590" i="1"/>
  <c r="I590" i="1"/>
  <c r="M590" i="1"/>
  <c r="P590" i="1"/>
  <c r="Q590" i="1" s="1"/>
  <c r="F589" i="1"/>
  <c r="I589" i="1"/>
  <c r="M589" i="1"/>
  <c r="P589" i="1"/>
  <c r="Q589" i="1" s="1"/>
  <c r="F588" i="1"/>
  <c r="I588" i="1"/>
  <c r="M588" i="1"/>
  <c r="P588" i="1"/>
  <c r="Q588" i="1" s="1"/>
  <c r="F587" i="1"/>
  <c r="I587" i="1"/>
  <c r="M587" i="1"/>
  <c r="P587" i="1"/>
  <c r="Q587" i="1" s="1"/>
  <c r="F586" i="1"/>
  <c r="I586" i="1"/>
  <c r="M586" i="1"/>
  <c r="P586" i="1"/>
  <c r="Q586" i="1" s="1"/>
  <c r="F584" i="1"/>
  <c r="F585" i="1"/>
  <c r="I584" i="1"/>
  <c r="I585" i="1"/>
  <c r="M584" i="1"/>
  <c r="M585" i="1"/>
  <c r="P584" i="1"/>
  <c r="Q584" i="1" s="1"/>
  <c r="P585" i="1"/>
  <c r="Q585" i="1" s="1"/>
  <c r="F583" i="1"/>
  <c r="I583" i="1"/>
  <c r="M583" i="1"/>
  <c r="P583" i="1"/>
  <c r="Q583" i="1" s="1"/>
  <c r="F582" i="1"/>
  <c r="I582" i="1"/>
  <c r="M582" i="1"/>
  <c r="P582" i="1"/>
  <c r="Q582" i="1" s="1"/>
  <c r="F580" i="1"/>
  <c r="F581" i="1"/>
  <c r="I580" i="1"/>
  <c r="I581" i="1"/>
  <c r="M580" i="1"/>
  <c r="M581" i="1"/>
  <c r="P580" i="1"/>
  <c r="Q580" i="1" s="1"/>
  <c r="P581" i="1"/>
  <c r="Q581" i="1" s="1"/>
  <c r="F578" i="1"/>
  <c r="F579" i="1"/>
  <c r="I578" i="1"/>
  <c r="I579" i="1"/>
  <c r="M578" i="1"/>
  <c r="M579" i="1"/>
  <c r="P578" i="1"/>
  <c r="Q578" i="1" s="1"/>
  <c r="P579" i="1"/>
  <c r="Q579" i="1" s="1"/>
  <c r="F577" i="1"/>
  <c r="I577" i="1"/>
  <c r="M577" i="1"/>
  <c r="P577" i="1"/>
  <c r="Q577" i="1" s="1"/>
  <c r="F576" i="1"/>
  <c r="I576" i="1"/>
  <c r="M576" i="1"/>
  <c r="P576" i="1"/>
  <c r="Q576" i="1" s="1"/>
  <c r="F574" i="1"/>
  <c r="F575" i="1"/>
  <c r="I574" i="1"/>
  <c r="I575" i="1"/>
  <c r="M574" i="1"/>
  <c r="M575" i="1"/>
  <c r="P574" i="1"/>
  <c r="Q574" i="1" s="1"/>
  <c r="P575" i="1"/>
  <c r="Q575" i="1" s="1"/>
  <c r="F573" i="1"/>
  <c r="I573" i="1"/>
  <c r="M573" i="1"/>
  <c r="P573" i="1"/>
  <c r="Q573" i="1" s="1"/>
  <c r="F572" i="1"/>
  <c r="I572" i="1"/>
  <c r="M572" i="1"/>
  <c r="P572" i="1"/>
  <c r="Q572" i="1" s="1"/>
  <c r="F571" i="1"/>
  <c r="I571" i="1"/>
  <c r="M571" i="1"/>
  <c r="P571" i="1"/>
  <c r="Q571" i="1" s="1"/>
  <c r="F570" i="1"/>
  <c r="I570" i="1"/>
  <c r="M570" i="1"/>
  <c r="P570" i="1"/>
  <c r="Q570" i="1" s="1"/>
  <c r="F569" i="1"/>
  <c r="I569" i="1"/>
  <c r="M569" i="1"/>
  <c r="P569" i="1"/>
  <c r="Q569" i="1" s="1"/>
  <c r="F568" i="1"/>
  <c r="I568" i="1"/>
  <c r="M568" i="1"/>
  <c r="P568" i="1"/>
  <c r="Q568" i="1" s="1"/>
  <c r="F567" i="1"/>
  <c r="I567" i="1"/>
  <c r="M567" i="1"/>
  <c r="P567" i="1"/>
  <c r="Q567" i="1" s="1"/>
  <c r="F566" i="1"/>
  <c r="I566" i="1"/>
  <c r="M566" i="1"/>
  <c r="P566" i="1"/>
  <c r="Q566" i="1" s="1"/>
  <c r="F565" i="1"/>
  <c r="I565" i="1"/>
  <c r="M565" i="1"/>
  <c r="P565" i="1"/>
  <c r="Q565" i="1" s="1"/>
  <c r="F563" i="1"/>
  <c r="F564" i="1"/>
  <c r="I563" i="1"/>
  <c r="I564" i="1"/>
  <c r="M563" i="1"/>
  <c r="M564" i="1"/>
  <c r="P563" i="1"/>
  <c r="Q563" i="1" s="1"/>
  <c r="P564" i="1"/>
  <c r="Q564" i="1" s="1"/>
  <c r="F562" i="1"/>
  <c r="I562" i="1"/>
  <c r="M562" i="1"/>
  <c r="P562" i="1"/>
  <c r="Q562" i="1" s="1"/>
  <c r="F561" i="1"/>
  <c r="I561" i="1"/>
  <c r="M561" i="1"/>
  <c r="P561" i="1"/>
  <c r="Q561" i="1" s="1"/>
  <c r="F560" i="1"/>
  <c r="I560" i="1"/>
  <c r="M560" i="1"/>
  <c r="P560" i="1"/>
  <c r="Q560" i="1" s="1"/>
  <c r="F559" i="1"/>
  <c r="I559" i="1"/>
  <c r="M559" i="1"/>
  <c r="P559" i="1"/>
  <c r="Q559" i="1" s="1"/>
  <c r="F558" i="1"/>
  <c r="I558" i="1"/>
  <c r="M558" i="1"/>
  <c r="P558" i="1"/>
  <c r="Q558" i="1" s="1"/>
  <c r="F557" i="1"/>
  <c r="I557" i="1"/>
  <c r="M557" i="1"/>
  <c r="P557" i="1"/>
  <c r="Q557" i="1" s="1"/>
  <c r="F556" i="1"/>
  <c r="I556" i="1"/>
  <c r="M556" i="1"/>
  <c r="P556" i="1"/>
  <c r="Q556" i="1" s="1"/>
  <c r="F555" i="1"/>
  <c r="I555" i="1"/>
  <c r="M555" i="1"/>
  <c r="P555" i="1"/>
  <c r="Q555" i="1" s="1"/>
  <c r="F553" i="1"/>
  <c r="F554" i="1"/>
  <c r="I553" i="1"/>
  <c r="I554" i="1"/>
  <c r="M553" i="1"/>
  <c r="M554" i="1"/>
  <c r="P553" i="1"/>
  <c r="Q553" i="1" s="1"/>
  <c r="P554" i="1"/>
  <c r="Q554" i="1" s="1"/>
  <c r="F552" i="1"/>
  <c r="I552" i="1"/>
  <c r="M552" i="1"/>
  <c r="P552" i="1"/>
  <c r="Q552" i="1" s="1"/>
  <c r="F551" i="1"/>
  <c r="I551" i="1"/>
  <c r="M551" i="1"/>
  <c r="P551" i="1"/>
  <c r="Q551" i="1" s="1"/>
  <c r="F550" i="1"/>
  <c r="I550" i="1"/>
  <c r="M550" i="1"/>
  <c r="P550" i="1"/>
  <c r="Q550" i="1" s="1"/>
  <c r="F549" i="1"/>
  <c r="I549" i="1"/>
  <c r="M549" i="1"/>
  <c r="P549" i="1"/>
  <c r="Q549" i="1" s="1"/>
  <c r="F548" i="1"/>
  <c r="I548" i="1"/>
  <c r="M548" i="1"/>
  <c r="P548" i="1"/>
  <c r="Q548" i="1" s="1"/>
  <c r="F547" i="1"/>
  <c r="I547" i="1"/>
  <c r="M547" i="1"/>
  <c r="P547" i="1"/>
  <c r="Q547" i="1" s="1"/>
  <c r="F546" i="1"/>
  <c r="I546" i="1"/>
  <c r="M546" i="1"/>
  <c r="P546" i="1"/>
  <c r="Q546" i="1" s="1"/>
  <c r="F545" i="1"/>
  <c r="I545" i="1"/>
  <c r="M545" i="1"/>
  <c r="P545" i="1"/>
  <c r="Q545" i="1" s="1"/>
  <c r="F542" i="1"/>
  <c r="F543" i="1"/>
  <c r="F544" i="1"/>
  <c r="I542" i="1"/>
  <c r="I543" i="1"/>
  <c r="I544" i="1"/>
  <c r="M542" i="1"/>
  <c r="M543" i="1"/>
  <c r="M544" i="1"/>
  <c r="P542" i="1"/>
  <c r="Q542" i="1" s="1"/>
  <c r="P543" i="1"/>
  <c r="Q543" i="1" s="1"/>
  <c r="P544" i="1"/>
  <c r="Q544" i="1" s="1"/>
  <c r="F541" i="1"/>
  <c r="I541" i="1"/>
  <c r="M541" i="1"/>
  <c r="P541" i="1"/>
  <c r="Q541" i="1" s="1"/>
  <c r="F540" i="1"/>
  <c r="I540" i="1"/>
  <c r="M540" i="1"/>
  <c r="P540" i="1"/>
  <c r="Q540" i="1" s="1"/>
  <c r="F539" i="1"/>
  <c r="I539" i="1"/>
  <c r="M539" i="1"/>
  <c r="P539" i="1"/>
  <c r="Q539" i="1" s="1"/>
  <c r="F538" i="1"/>
  <c r="I538" i="1"/>
  <c r="M538" i="1"/>
  <c r="P538" i="1"/>
  <c r="Q538" i="1" s="1"/>
  <c r="F537" i="1"/>
  <c r="I537" i="1"/>
  <c r="M537" i="1"/>
  <c r="P537" i="1"/>
  <c r="Q537" i="1" s="1"/>
  <c r="F535" i="1"/>
  <c r="F536" i="1"/>
  <c r="I535" i="1"/>
  <c r="I536" i="1"/>
  <c r="M535" i="1"/>
  <c r="M536" i="1"/>
  <c r="P535" i="1"/>
  <c r="Q535" i="1" s="1"/>
  <c r="P536" i="1"/>
  <c r="Q536" i="1" s="1"/>
  <c r="F534" i="1"/>
  <c r="I534" i="1"/>
  <c r="M534" i="1"/>
  <c r="P534" i="1"/>
  <c r="Q534" i="1" s="1"/>
  <c r="F533" i="1"/>
  <c r="I533" i="1"/>
  <c r="M533" i="1"/>
  <c r="P533" i="1"/>
  <c r="Q533" i="1" s="1"/>
  <c r="F531" i="1"/>
  <c r="F532" i="1"/>
  <c r="I531" i="1"/>
  <c r="I532" i="1"/>
  <c r="M531" i="1"/>
  <c r="M532" i="1"/>
  <c r="P531" i="1"/>
  <c r="Q531" i="1" s="1"/>
  <c r="P532" i="1"/>
  <c r="Q532" i="1" s="1"/>
  <c r="F530" i="1"/>
  <c r="I530" i="1"/>
  <c r="M530" i="1"/>
  <c r="P530" i="1"/>
  <c r="Q530" i="1" s="1"/>
  <c r="F528" i="1"/>
  <c r="F529" i="1"/>
  <c r="I528" i="1"/>
  <c r="I529" i="1"/>
  <c r="M528" i="1"/>
  <c r="M529" i="1"/>
  <c r="P528" i="1"/>
  <c r="Q528" i="1" s="1"/>
  <c r="P529" i="1"/>
  <c r="Q529" i="1" s="1"/>
  <c r="F527" i="1"/>
  <c r="I527" i="1"/>
  <c r="M527" i="1"/>
  <c r="P527" i="1"/>
  <c r="Q527" i="1" s="1"/>
  <c r="F525" i="1"/>
  <c r="F526" i="1"/>
  <c r="I525" i="1"/>
  <c r="I526" i="1"/>
  <c r="M525" i="1"/>
  <c r="M526" i="1"/>
  <c r="P525" i="1"/>
  <c r="Q525" i="1" s="1"/>
  <c r="P526" i="1"/>
  <c r="Q526" i="1" s="1"/>
  <c r="F523" i="1"/>
  <c r="F524" i="1"/>
  <c r="I523" i="1"/>
  <c r="I524" i="1"/>
  <c r="M523" i="1"/>
  <c r="M524" i="1"/>
  <c r="P523" i="1"/>
  <c r="Q523" i="1" s="1"/>
  <c r="P524" i="1"/>
  <c r="Q524" i="1" s="1"/>
  <c r="F522" i="1"/>
  <c r="I522" i="1"/>
  <c r="M522" i="1"/>
  <c r="P522" i="1"/>
  <c r="Q522" i="1" s="1"/>
  <c r="F520" i="1"/>
  <c r="F521" i="1"/>
  <c r="I520" i="1"/>
  <c r="I521" i="1"/>
  <c r="M520" i="1"/>
  <c r="M521" i="1"/>
  <c r="P520" i="1"/>
  <c r="Q520" i="1" s="1"/>
  <c r="P521" i="1"/>
  <c r="Q521" i="1" s="1"/>
  <c r="F518" i="1"/>
  <c r="F519" i="1"/>
  <c r="I518" i="1"/>
  <c r="I519" i="1"/>
  <c r="M518" i="1"/>
  <c r="M519" i="1"/>
  <c r="P518" i="1"/>
  <c r="Q518" i="1" s="1"/>
  <c r="P519" i="1"/>
  <c r="Q519" i="1" s="1"/>
  <c r="F517" i="1"/>
  <c r="I517" i="1"/>
  <c r="M517" i="1"/>
  <c r="P517" i="1"/>
  <c r="Q517" i="1" s="1"/>
  <c r="F516" i="1"/>
  <c r="I516" i="1"/>
  <c r="M516" i="1"/>
  <c r="P516" i="1"/>
  <c r="Q516" i="1" s="1"/>
  <c r="F515" i="1"/>
  <c r="I515" i="1"/>
  <c r="M515" i="1"/>
  <c r="P515" i="1"/>
  <c r="Q515" i="1" s="1"/>
  <c r="F514" i="1"/>
  <c r="I514" i="1"/>
  <c r="M514" i="1"/>
  <c r="P514" i="1"/>
  <c r="Q514" i="1" s="1"/>
  <c r="F513" i="1"/>
  <c r="I513" i="1"/>
  <c r="M513" i="1"/>
  <c r="P513" i="1"/>
  <c r="Q513" i="1" s="1"/>
  <c r="F512" i="1"/>
  <c r="I512" i="1"/>
  <c r="M512" i="1"/>
  <c r="P512" i="1"/>
  <c r="Q512" i="1" s="1"/>
  <c r="F510" i="1"/>
  <c r="F511" i="1"/>
  <c r="I510" i="1"/>
  <c r="I511" i="1"/>
  <c r="M510" i="1"/>
  <c r="M511" i="1"/>
  <c r="P510" i="1"/>
  <c r="Q510" i="1" s="1"/>
  <c r="P511" i="1"/>
  <c r="Q511" i="1" s="1"/>
  <c r="F509" i="1"/>
  <c r="I509" i="1"/>
  <c r="M509" i="1"/>
  <c r="P509" i="1"/>
  <c r="Q509" i="1" s="1"/>
  <c r="F508" i="1"/>
  <c r="I508" i="1"/>
  <c r="M508" i="1"/>
  <c r="P508" i="1"/>
  <c r="Q508" i="1" s="1"/>
  <c r="F506" i="1"/>
  <c r="F507" i="1"/>
  <c r="I506" i="1"/>
  <c r="I507" i="1"/>
  <c r="M506" i="1"/>
  <c r="M507" i="1"/>
  <c r="P506" i="1"/>
  <c r="Q506" i="1" s="1"/>
  <c r="P507" i="1"/>
  <c r="Q507" i="1" s="1"/>
  <c r="F505" i="1"/>
  <c r="I505" i="1"/>
  <c r="M505" i="1"/>
  <c r="P505" i="1"/>
  <c r="Q505" i="1" s="1"/>
  <c r="F504" i="1"/>
  <c r="I504" i="1"/>
  <c r="M504" i="1"/>
  <c r="P504" i="1"/>
  <c r="Q504" i="1" s="1"/>
  <c r="F503" i="1"/>
  <c r="I503" i="1"/>
  <c r="M503" i="1"/>
  <c r="P503" i="1"/>
  <c r="Q503" i="1" s="1"/>
  <c r="F502" i="1"/>
  <c r="I502" i="1"/>
  <c r="M502" i="1"/>
  <c r="P502" i="1"/>
  <c r="Q502" i="1" s="1"/>
  <c r="F501" i="1"/>
  <c r="I501" i="1"/>
  <c r="M501" i="1"/>
  <c r="P501" i="1"/>
  <c r="Q501" i="1" s="1"/>
  <c r="F499" i="1"/>
  <c r="F500" i="1"/>
  <c r="I499" i="1"/>
  <c r="I500" i="1"/>
  <c r="M499" i="1"/>
  <c r="M500" i="1"/>
  <c r="P499" i="1"/>
  <c r="Q499" i="1" s="1"/>
  <c r="P500" i="1"/>
  <c r="Q500" i="1" s="1"/>
  <c r="F498" i="1"/>
  <c r="I498" i="1"/>
  <c r="M498" i="1"/>
  <c r="P498" i="1"/>
  <c r="Q498" i="1" s="1"/>
  <c r="F497" i="1"/>
  <c r="I497" i="1"/>
  <c r="M497" i="1"/>
  <c r="P497" i="1"/>
  <c r="Q497" i="1" s="1"/>
  <c r="F496" i="1"/>
  <c r="I496" i="1"/>
  <c r="M496" i="1"/>
  <c r="P496" i="1"/>
  <c r="Q496" i="1" s="1"/>
  <c r="F495" i="1"/>
  <c r="I495" i="1"/>
  <c r="M495" i="1"/>
  <c r="P495" i="1"/>
  <c r="Q495" i="1" s="1"/>
  <c r="F494" i="1"/>
  <c r="I494" i="1"/>
  <c r="M494" i="1"/>
  <c r="P494" i="1"/>
  <c r="Q494" i="1" s="1"/>
  <c r="F493" i="1"/>
  <c r="I493" i="1"/>
  <c r="M493" i="1"/>
  <c r="P493" i="1"/>
  <c r="Q493" i="1" s="1"/>
  <c r="F492" i="1"/>
  <c r="I492" i="1"/>
  <c r="M492" i="1"/>
  <c r="P492" i="1"/>
  <c r="Q492" i="1" s="1"/>
  <c r="F491" i="1"/>
  <c r="I491" i="1"/>
  <c r="M491" i="1"/>
  <c r="P491" i="1"/>
  <c r="Q491" i="1" s="1"/>
  <c r="F490" i="1"/>
  <c r="I490" i="1"/>
  <c r="M490" i="1"/>
  <c r="P490" i="1"/>
  <c r="Q490" i="1" s="1"/>
  <c r="F489" i="1"/>
  <c r="I489" i="1"/>
  <c r="M489" i="1"/>
  <c r="P489" i="1"/>
  <c r="Q489" i="1" s="1"/>
  <c r="F488" i="1"/>
  <c r="I488" i="1"/>
  <c r="M488" i="1"/>
  <c r="P488" i="1"/>
  <c r="Q488" i="1" s="1"/>
  <c r="F487" i="1"/>
  <c r="I487" i="1"/>
  <c r="M487" i="1"/>
  <c r="P487" i="1"/>
  <c r="Q487" i="1" s="1"/>
  <c r="F486" i="1"/>
  <c r="I486" i="1"/>
  <c r="M486" i="1"/>
  <c r="P486" i="1"/>
  <c r="Q486" i="1" s="1"/>
  <c r="F484" i="1"/>
  <c r="F485" i="1"/>
  <c r="I484" i="1"/>
  <c r="I485" i="1"/>
  <c r="M484" i="1"/>
  <c r="M485" i="1"/>
  <c r="P484" i="1"/>
  <c r="Q484" i="1" s="1"/>
  <c r="P485" i="1"/>
  <c r="Q485" i="1" s="1"/>
  <c r="F481" i="1"/>
  <c r="F482" i="1"/>
  <c r="F483" i="1"/>
  <c r="I481" i="1"/>
  <c r="I482" i="1"/>
  <c r="I483" i="1"/>
  <c r="M481" i="1"/>
  <c r="M482" i="1"/>
  <c r="M483" i="1"/>
  <c r="P481" i="1"/>
  <c r="Q481" i="1" s="1"/>
  <c r="P482" i="1"/>
  <c r="Q482" i="1" s="1"/>
  <c r="P483" i="1"/>
  <c r="Q483" i="1" s="1"/>
  <c r="F480" i="1"/>
  <c r="I480" i="1"/>
  <c r="M480" i="1"/>
  <c r="P480" i="1"/>
  <c r="Q480" i="1" s="1"/>
  <c r="F479" i="1"/>
  <c r="I479" i="1"/>
  <c r="M479" i="1"/>
  <c r="P479" i="1"/>
  <c r="Q479" i="1" s="1"/>
  <c r="F478" i="1"/>
  <c r="I478" i="1"/>
  <c r="M478" i="1"/>
  <c r="P478" i="1"/>
  <c r="Q478" i="1" s="1"/>
  <c r="F477" i="1"/>
  <c r="I477" i="1"/>
  <c r="M477" i="1"/>
  <c r="P477" i="1"/>
  <c r="Q477" i="1" s="1"/>
  <c r="F476" i="1"/>
  <c r="I476" i="1"/>
  <c r="M476" i="1"/>
  <c r="P476" i="1"/>
  <c r="Q476" i="1" s="1"/>
  <c r="F475" i="1"/>
  <c r="I475" i="1"/>
  <c r="M475" i="1"/>
  <c r="P475" i="1"/>
  <c r="Q475" i="1" s="1"/>
  <c r="F474" i="1"/>
  <c r="I474" i="1"/>
  <c r="M474" i="1"/>
  <c r="P474" i="1"/>
  <c r="Q474" i="1" s="1"/>
  <c r="F473" i="1"/>
  <c r="I473" i="1"/>
  <c r="M473" i="1"/>
  <c r="P473" i="1"/>
  <c r="Q473" i="1" s="1"/>
  <c r="F472" i="1"/>
  <c r="I472" i="1"/>
  <c r="M472" i="1"/>
  <c r="P472" i="1"/>
  <c r="Q472" i="1" s="1"/>
  <c r="F471" i="1"/>
  <c r="I471" i="1"/>
  <c r="M471" i="1"/>
  <c r="P471" i="1"/>
  <c r="Q471" i="1" s="1"/>
  <c r="F470" i="1"/>
  <c r="I470" i="1"/>
  <c r="M470" i="1"/>
  <c r="P470" i="1"/>
  <c r="Q470" i="1" s="1"/>
  <c r="F469" i="1"/>
  <c r="I469" i="1"/>
  <c r="M469" i="1"/>
  <c r="P469" i="1"/>
  <c r="Q469" i="1" s="1"/>
  <c r="F467" i="1"/>
  <c r="F468" i="1"/>
  <c r="I467" i="1"/>
  <c r="I468" i="1"/>
  <c r="M467" i="1"/>
  <c r="M468" i="1"/>
  <c r="P467" i="1"/>
  <c r="Q467" i="1" s="1"/>
  <c r="P468" i="1"/>
  <c r="Q468" i="1" s="1"/>
  <c r="F465" i="1"/>
  <c r="F466" i="1"/>
  <c r="I465" i="1"/>
  <c r="I466" i="1"/>
  <c r="M465" i="1"/>
  <c r="M466" i="1"/>
  <c r="P465" i="1"/>
  <c r="Q465" i="1" s="1"/>
  <c r="P466" i="1"/>
  <c r="Q466" i="1" s="1"/>
  <c r="F464" i="1"/>
  <c r="I464" i="1"/>
  <c r="M464" i="1"/>
  <c r="P464" i="1"/>
  <c r="Q464" i="1" s="1"/>
  <c r="F463" i="1"/>
  <c r="I463" i="1"/>
  <c r="M463" i="1"/>
  <c r="P463" i="1"/>
  <c r="Q463" i="1" s="1"/>
  <c r="F462" i="1"/>
  <c r="I462" i="1"/>
  <c r="M462" i="1"/>
  <c r="P462" i="1"/>
  <c r="Q462" i="1" s="1"/>
  <c r="F461" i="1"/>
  <c r="I461" i="1"/>
  <c r="M461" i="1"/>
  <c r="P461" i="1"/>
  <c r="Q461" i="1" s="1"/>
  <c r="F460" i="1"/>
  <c r="I460" i="1"/>
  <c r="M460" i="1"/>
  <c r="P460" i="1"/>
  <c r="Q460" i="1" s="1"/>
  <c r="F459" i="1"/>
  <c r="I459" i="1"/>
  <c r="M459" i="1"/>
  <c r="P459" i="1"/>
  <c r="Q459" i="1" s="1"/>
  <c r="F458" i="1"/>
  <c r="I458" i="1"/>
  <c r="M458" i="1"/>
  <c r="P458" i="1"/>
  <c r="Q458" i="1" s="1"/>
  <c r="F457" i="1"/>
  <c r="I457" i="1"/>
  <c r="M457" i="1"/>
  <c r="P457" i="1"/>
  <c r="Q457" i="1" s="1"/>
  <c r="F456" i="1"/>
  <c r="I456" i="1"/>
  <c r="M456" i="1"/>
  <c r="P456" i="1"/>
  <c r="Q456" i="1" s="1"/>
  <c r="F454" i="1"/>
  <c r="F455" i="1"/>
  <c r="I454" i="1"/>
  <c r="I455" i="1"/>
  <c r="M454" i="1"/>
  <c r="M455" i="1"/>
  <c r="P454" i="1"/>
  <c r="Q454" i="1" s="1"/>
  <c r="P455" i="1"/>
  <c r="Q455" i="1" s="1"/>
  <c r="F452" i="1"/>
  <c r="F453" i="1"/>
  <c r="I452" i="1"/>
  <c r="I453" i="1"/>
  <c r="M452" i="1"/>
  <c r="M453" i="1"/>
  <c r="P452" i="1"/>
  <c r="Q452" i="1" s="1"/>
  <c r="P453" i="1"/>
  <c r="Q453" i="1" s="1"/>
  <c r="F451" i="1"/>
  <c r="I451" i="1"/>
  <c r="M451" i="1"/>
  <c r="P451" i="1"/>
  <c r="Q451" i="1" s="1"/>
  <c r="F450" i="1"/>
  <c r="I450" i="1"/>
  <c r="M450" i="1"/>
  <c r="P450" i="1"/>
  <c r="Q450" i="1" s="1"/>
  <c r="F449" i="1"/>
  <c r="I449" i="1"/>
  <c r="M449" i="1"/>
  <c r="P449" i="1"/>
  <c r="Q449" i="1" s="1"/>
  <c r="F448" i="1"/>
  <c r="I448" i="1"/>
  <c r="M448" i="1"/>
  <c r="P448" i="1"/>
  <c r="Q448" i="1" s="1"/>
  <c r="F447" i="1"/>
  <c r="I447" i="1"/>
  <c r="M447" i="1"/>
  <c r="P447" i="1"/>
  <c r="Q447" i="1" s="1"/>
  <c r="F446" i="1"/>
  <c r="I446" i="1"/>
  <c r="M446" i="1"/>
  <c r="P446" i="1"/>
  <c r="Q446" i="1" s="1"/>
  <c r="F445" i="1"/>
  <c r="I445" i="1"/>
  <c r="M445" i="1"/>
  <c r="P445" i="1"/>
  <c r="Q445" i="1" s="1"/>
  <c r="F444" i="1"/>
  <c r="I444" i="1"/>
  <c r="M444" i="1"/>
  <c r="P444" i="1"/>
  <c r="Q444" i="1" s="1"/>
  <c r="F443" i="1"/>
  <c r="I443" i="1"/>
  <c r="M443" i="1"/>
  <c r="P443" i="1"/>
  <c r="Q443" i="1" s="1"/>
  <c r="F442" i="1"/>
  <c r="I442" i="1"/>
  <c r="M442" i="1"/>
  <c r="P442" i="1"/>
  <c r="Q442" i="1" s="1"/>
  <c r="F441" i="1"/>
  <c r="I441" i="1"/>
  <c r="M441" i="1"/>
  <c r="P441" i="1"/>
  <c r="Q441" i="1" s="1"/>
  <c r="F440" i="1"/>
  <c r="I440" i="1"/>
  <c r="M440" i="1"/>
  <c r="P440" i="1"/>
  <c r="Q440" i="1" s="1"/>
  <c r="F439" i="1"/>
  <c r="I439" i="1"/>
  <c r="M439" i="1"/>
  <c r="P439" i="1"/>
  <c r="Q439" i="1" s="1"/>
  <c r="F438" i="1"/>
  <c r="I438" i="1"/>
  <c r="M438" i="1"/>
  <c r="P438" i="1"/>
  <c r="Q438" i="1" s="1"/>
  <c r="F437" i="1"/>
  <c r="I437" i="1"/>
  <c r="M437" i="1"/>
  <c r="P437" i="1"/>
  <c r="Q437" i="1" s="1"/>
  <c r="F435" i="1"/>
  <c r="F436" i="1"/>
  <c r="I435" i="1"/>
  <c r="I436" i="1"/>
  <c r="M435" i="1"/>
  <c r="M436" i="1"/>
  <c r="P435" i="1"/>
  <c r="Q435" i="1" s="1"/>
  <c r="P436" i="1"/>
  <c r="Q436" i="1" s="1"/>
  <c r="F434" i="1"/>
  <c r="I434" i="1"/>
  <c r="M434" i="1"/>
  <c r="P434" i="1"/>
  <c r="Q434" i="1" s="1"/>
  <c r="F433" i="1"/>
  <c r="I433" i="1"/>
  <c r="M433" i="1"/>
  <c r="P433" i="1"/>
  <c r="Q433" i="1" s="1"/>
  <c r="F432" i="1"/>
  <c r="I432" i="1"/>
  <c r="M432" i="1"/>
  <c r="P432" i="1"/>
  <c r="Q432" i="1" s="1"/>
  <c r="F431" i="1"/>
  <c r="I431" i="1"/>
  <c r="M431" i="1"/>
  <c r="P431" i="1"/>
  <c r="Q431" i="1" s="1"/>
  <c r="F430" i="1"/>
  <c r="I430" i="1"/>
  <c r="M430" i="1"/>
  <c r="P430" i="1"/>
  <c r="Q430" i="1" s="1"/>
  <c r="F429" i="1"/>
  <c r="I429" i="1"/>
  <c r="M429" i="1"/>
  <c r="P429" i="1"/>
  <c r="Q429" i="1" s="1"/>
  <c r="F428" i="1"/>
  <c r="I428" i="1"/>
  <c r="M428" i="1"/>
  <c r="P428" i="1"/>
  <c r="Q428" i="1" s="1"/>
  <c r="F427" i="1"/>
  <c r="I427" i="1"/>
  <c r="M427" i="1"/>
  <c r="P427" i="1"/>
  <c r="Q427" i="1" s="1"/>
  <c r="F426" i="1"/>
  <c r="I426" i="1"/>
  <c r="M426" i="1"/>
  <c r="P426" i="1"/>
  <c r="Q426" i="1" s="1"/>
  <c r="F424" i="1"/>
  <c r="F425" i="1"/>
  <c r="I424" i="1"/>
  <c r="I425" i="1"/>
  <c r="M424" i="1"/>
  <c r="M425" i="1"/>
  <c r="P424" i="1"/>
  <c r="Q424" i="1" s="1"/>
  <c r="P425" i="1"/>
  <c r="Q425" i="1" s="1"/>
  <c r="F423" i="1"/>
  <c r="I423" i="1"/>
  <c r="M423" i="1"/>
  <c r="P423" i="1"/>
  <c r="Q423" i="1" s="1"/>
  <c r="F421" i="1"/>
  <c r="F422" i="1"/>
  <c r="I421" i="1"/>
  <c r="I422" i="1"/>
  <c r="M421" i="1"/>
  <c r="M422" i="1"/>
  <c r="P421" i="1"/>
  <c r="Q421" i="1" s="1"/>
  <c r="P422" i="1"/>
  <c r="Q422" i="1" s="1"/>
  <c r="F420" i="1"/>
  <c r="I420" i="1"/>
  <c r="M420" i="1"/>
  <c r="P420" i="1"/>
  <c r="Q420" i="1" s="1"/>
  <c r="F419" i="1"/>
  <c r="I419" i="1"/>
  <c r="M419" i="1"/>
  <c r="P419" i="1"/>
  <c r="Q419" i="1" s="1"/>
  <c r="F418" i="1"/>
  <c r="I418" i="1"/>
  <c r="M418" i="1"/>
  <c r="P418" i="1"/>
  <c r="Q418" i="1" s="1"/>
  <c r="F417" i="1"/>
  <c r="I417" i="1"/>
  <c r="M417" i="1"/>
  <c r="P417" i="1"/>
  <c r="Q417" i="1" s="1"/>
  <c r="F416" i="1"/>
  <c r="I416" i="1"/>
  <c r="M416" i="1"/>
  <c r="P416" i="1"/>
  <c r="Q416" i="1" s="1"/>
  <c r="F415" i="1"/>
  <c r="I415" i="1"/>
  <c r="M415" i="1"/>
  <c r="P415" i="1"/>
  <c r="Q415" i="1" s="1"/>
  <c r="F414" i="1"/>
  <c r="I414" i="1"/>
  <c r="M414" i="1"/>
  <c r="P414" i="1"/>
  <c r="Q414" i="1" s="1"/>
  <c r="F413" i="1"/>
  <c r="I413" i="1"/>
  <c r="M413" i="1"/>
  <c r="P413" i="1"/>
  <c r="Q413" i="1" s="1"/>
  <c r="F412" i="1"/>
  <c r="I412" i="1"/>
  <c r="M412" i="1"/>
  <c r="P412" i="1"/>
  <c r="Q412" i="1" s="1"/>
  <c r="F410" i="1"/>
  <c r="F411" i="1"/>
  <c r="I410" i="1"/>
  <c r="I411" i="1"/>
  <c r="M410" i="1"/>
  <c r="M411" i="1"/>
  <c r="P410" i="1"/>
  <c r="Q410" i="1" s="1"/>
  <c r="P411" i="1"/>
  <c r="Q411" i="1" s="1"/>
  <c r="F409" i="1"/>
  <c r="I409" i="1"/>
  <c r="M409" i="1"/>
  <c r="P409" i="1"/>
  <c r="Q409" i="1" s="1"/>
  <c r="F408" i="1"/>
  <c r="I408" i="1"/>
  <c r="M408" i="1"/>
  <c r="P408" i="1"/>
  <c r="Q408" i="1" s="1"/>
  <c r="F407" i="1"/>
  <c r="I407" i="1"/>
  <c r="M407" i="1"/>
  <c r="P407" i="1"/>
  <c r="Q407" i="1" s="1"/>
  <c r="F406" i="1"/>
  <c r="I406" i="1"/>
  <c r="M406" i="1"/>
  <c r="P406" i="1"/>
  <c r="Q406" i="1" s="1"/>
  <c r="F405" i="1"/>
  <c r="I405" i="1"/>
  <c r="M405" i="1"/>
  <c r="P405" i="1"/>
  <c r="Q405" i="1" s="1"/>
  <c r="F404" i="1"/>
  <c r="I404" i="1"/>
  <c r="M404" i="1"/>
  <c r="P404" i="1"/>
  <c r="Q404" i="1" s="1"/>
  <c r="F403" i="1"/>
  <c r="I403" i="1"/>
  <c r="M403" i="1"/>
  <c r="P403" i="1"/>
  <c r="Q403" i="1" s="1"/>
  <c r="F402" i="1"/>
  <c r="I402" i="1"/>
  <c r="M402" i="1"/>
  <c r="P402" i="1"/>
  <c r="Q402" i="1" s="1"/>
  <c r="F400" i="1"/>
  <c r="F401" i="1"/>
  <c r="I400" i="1"/>
  <c r="I401" i="1"/>
  <c r="M400" i="1"/>
  <c r="M401" i="1"/>
  <c r="P400" i="1"/>
  <c r="Q400" i="1" s="1"/>
  <c r="P401" i="1"/>
  <c r="Q401" i="1" s="1"/>
  <c r="F398" i="1"/>
  <c r="F399" i="1"/>
  <c r="I398" i="1"/>
  <c r="I399" i="1"/>
  <c r="M398" i="1"/>
  <c r="M399" i="1"/>
  <c r="P398" i="1"/>
  <c r="Q398" i="1" s="1"/>
  <c r="P399" i="1"/>
  <c r="Q399" i="1" s="1"/>
  <c r="F397" i="1"/>
  <c r="I397" i="1"/>
  <c r="M397" i="1"/>
  <c r="P397" i="1"/>
  <c r="Q397" i="1" s="1"/>
  <c r="F396" i="1"/>
  <c r="I396" i="1"/>
  <c r="M396" i="1"/>
  <c r="P396" i="1"/>
  <c r="Q396" i="1" s="1"/>
  <c r="F395" i="1"/>
  <c r="I395" i="1"/>
  <c r="M395" i="1"/>
  <c r="P395" i="1"/>
  <c r="Q395" i="1" s="1"/>
  <c r="F394" i="1"/>
  <c r="I394" i="1"/>
  <c r="M394" i="1"/>
  <c r="P394" i="1"/>
  <c r="Q394" i="1" s="1"/>
  <c r="F393" i="1"/>
  <c r="I393" i="1"/>
  <c r="M393" i="1"/>
  <c r="P393" i="1"/>
  <c r="Q393" i="1" s="1"/>
  <c r="F392" i="1"/>
  <c r="I392" i="1"/>
  <c r="M392" i="1"/>
  <c r="P392" i="1"/>
  <c r="Q392" i="1" s="1"/>
  <c r="F391" i="1"/>
  <c r="I391" i="1"/>
  <c r="M391" i="1"/>
  <c r="P391" i="1"/>
  <c r="Q391" i="1" s="1"/>
  <c r="F390" i="1"/>
  <c r="I390" i="1"/>
  <c r="M390" i="1"/>
  <c r="P390" i="1"/>
  <c r="Q390" i="1" s="1"/>
  <c r="F389" i="1"/>
  <c r="I389" i="1"/>
  <c r="M389" i="1"/>
  <c r="P389" i="1"/>
  <c r="Q389" i="1" s="1"/>
  <c r="F388" i="1"/>
  <c r="I388" i="1"/>
  <c r="M388" i="1"/>
  <c r="P388" i="1"/>
  <c r="Q388" i="1" s="1"/>
  <c r="F387" i="1"/>
  <c r="I387" i="1"/>
  <c r="M387" i="1"/>
  <c r="P387" i="1"/>
  <c r="Q387" i="1" s="1"/>
  <c r="F386" i="1"/>
  <c r="I386" i="1"/>
  <c r="M386" i="1"/>
  <c r="P386" i="1"/>
  <c r="Q386" i="1" s="1"/>
  <c r="F385" i="1"/>
  <c r="I385" i="1"/>
  <c r="M385" i="1"/>
  <c r="P385" i="1"/>
  <c r="Q385" i="1" s="1"/>
  <c r="F384" i="1"/>
  <c r="I384" i="1"/>
  <c r="M384" i="1"/>
  <c r="P384" i="1"/>
  <c r="Q384" i="1" s="1"/>
  <c r="F383" i="1"/>
  <c r="I383" i="1"/>
  <c r="M383" i="1"/>
  <c r="P383" i="1"/>
  <c r="Q383" i="1" s="1"/>
  <c r="F381" i="1"/>
  <c r="F382" i="1"/>
  <c r="I381" i="1"/>
  <c r="I382" i="1"/>
  <c r="M381" i="1"/>
  <c r="M382" i="1"/>
  <c r="P381" i="1"/>
  <c r="Q381" i="1" s="1"/>
  <c r="P382" i="1"/>
  <c r="Q382" i="1" s="1"/>
  <c r="F380" i="1"/>
  <c r="I380" i="1"/>
  <c r="M380" i="1"/>
  <c r="P380" i="1"/>
  <c r="Q380" i="1" s="1"/>
  <c r="F379" i="1"/>
  <c r="I379" i="1"/>
  <c r="M379" i="1"/>
  <c r="P379" i="1"/>
  <c r="Q379" i="1" s="1"/>
  <c r="F378" i="1"/>
  <c r="I378" i="1"/>
  <c r="M378" i="1"/>
  <c r="P378" i="1"/>
  <c r="Q378" i="1" s="1"/>
  <c r="F377" i="1"/>
  <c r="I377" i="1"/>
  <c r="M377" i="1"/>
  <c r="P377" i="1"/>
  <c r="Q377" i="1" s="1"/>
  <c r="F376" i="1"/>
  <c r="I376" i="1"/>
  <c r="M376" i="1"/>
  <c r="P376" i="1"/>
  <c r="Q376" i="1" s="1"/>
  <c r="F375" i="1"/>
  <c r="I375" i="1"/>
  <c r="M375" i="1"/>
  <c r="P375" i="1"/>
  <c r="Q375" i="1" s="1"/>
  <c r="F374" i="1"/>
  <c r="I374" i="1"/>
  <c r="M374" i="1"/>
  <c r="P374" i="1"/>
  <c r="Q374" i="1" s="1"/>
  <c r="F373" i="1"/>
  <c r="I373" i="1"/>
  <c r="M373" i="1"/>
  <c r="P373" i="1"/>
  <c r="Q373" i="1" s="1"/>
  <c r="F372" i="1"/>
  <c r="I372" i="1"/>
  <c r="M372" i="1"/>
  <c r="P372" i="1"/>
  <c r="Q372" i="1" s="1"/>
  <c r="F370" i="1"/>
  <c r="F371" i="1"/>
  <c r="I370" i="1"/>
  <c r="I371" i="1"/>
  <c r="M370" i="1"/>
  <c r="M371" i="1"/>
  <c r="P370" i="1"/>
  <c r="Q370" i="1" s="1"/>
  <c r="P371" i="1"/>
  <c r="Q371" i="1" s="1"/>
  <c r="F369" i="1"/>
  <c r="I369" i="1"/>
  <c r="M369" i="1"/>
  <c r="P369" i="1"/>
  <c r="Q369" i="1" s="1"/>
  <c r="F368" i="1"/>
  <c r="I368" i="1"/>
  <c r="M368" i="1"/>
  <c r="P368" i="1"/>
  <c r="Q368" i="1" s="1"/>
  <c r="F367" i="1"/>
  <c r="I367" i="1"/>
  <c r="M367" i="1"/>
  <c r="P367" i="1"/>
  <c r="Q367" i="1" s="1"/>
  <c r="F366" i="1"/>
  <c r="I366" i="1"/>
  <c r="M366" i="1"/>
  <c r="P366" i="1"/>
  <c r="Q366" i="1" s="1"/>
  <c r="F365" i="1"/>
  <c r="I365" i="1"/>
  <c r="M365" i="1"/>
  <c r="P365" i="1"/>
  <c r="Q365" i="1" s="1"/>
  <c r="F364" i="1"/>
  <c r="I364" i="1"/>
  <c r="M364" i="1"/>
  <c r="P364" i="1"/>
  <c r="Q364" i="1" s="1"/>
  <c r="F363" i="1"/>
  <c r="I363" i="1"/>
  <c r="M363" i="1"/>
  <c r="P363" i="1"/>
  <c r="Q363" i="1" s="1"/>
  <c r="F362" i="1"/>
  <c r="I362" i="1"/>
  <c r="M362" i="1"/>
  <c r="P362" i="1"/>
  <c r="Q362" i="1" s="1"/>
  <c r="F361" i="1"/>
  <c r="I361" i="1"/>
  <c r="M361" i="1"/>
  <c r="P361" i="1"/>
  <c r="Q361" i="1" s="1"/>
  <c r="F360" i="1"/>
  <c r="I360" i="1"/>
  <c r="M360" i="1"/>
  <c r="P360" i="1"/>
  <c r="Q360" i="1" s="1"/>
  <c r="F358" i="1"/>
  <c r="F359" i="1"/>
  <c r="I358" i="1"/>
  <c r="I359" i="1"/>
  <c r="M358" i="1"/>
  <c r="M359" i="1"/>
  <c r="P358" i="1"/>
  <c r="Q358" i="1" s="1"/>
  <c r="P359" i="1"/>
  <c r="Q359" i="1" s="1"/>
  <c r="F357" i="1"/>
  <c r="I357" i="1"/>
  <c r="M357" i="1"/>
  <c r="P357" i="1"/>
  <c r="Q357" i="1" s="1"/>
  <c r="F356" i="1"/>
  <c r="I356" i="1"/>
  <c r="M356" i="1"/>
  <c r="P356" i="1"/>
  <c r="Q356" i="1" s="1"/>
  <c r="F354" i="1"/>
  <c r="F355" i="1"/>
  <c r="I354" i="1"/>
  <c r="I355" i="1"/>
  <c r="M354" i="1"/>
  <c r="M355" i="1"/>
  <c r="P354" i="1"/>
  <c r="Q354" i="1" s="1"/>
  <c r="P355" i="1"/>
  <c r="Q355" i="1" s="1"/>
  <c r="F353" i="1"/>
  <c r="I353" i="1"/>
  <c r="M353" i="1"/>
  <c r="P353" i="1"/>
  <c r="Q353" i="1" s="1"/>
  <c r="F352" i="1"/>
  <c r="I352" i="1"/>
  <c r="M352" i="1"/>
  <c r="P352" i="1"/>
  <c r="Q352" i="1" s="1"/>
  <c r="F351" i="1"/>
  <c r="I351" i="1"/>
  <c r="M351" i="1"/>
  <c r="P351" i="1"/>
  <c r="Q351" i="1" s="1"/>
  <c r="F350" i="1"/>
  <c r="I350" i="1"/>
  <c r="M350" i="1"/>
  <c r="P350" i="1"/>
  <c r="Q350" i="1" s="1"/>
  <c r="F349" i="1"/>
  <c r="I349" i="1"/>
  <c r="M349" i="1"/>
  <c r="P349" i="1"/>
  <c r="Q349" i="1" s="1"/>
  <c r="F348" i="1"/>
  <c r="I348" i="1"/>
  <c r="M348" i="1"/>
  <c r="P348" i="1"/>
  <c r="Q348" i="1" s="1"/>
  <c r="F347" i="1"/>
  <c r="I347" i="1"/>
  <c r="M347" i="1"/>
  <c r="P347" i="1"/>
  <c r="Q347" i="1" s="1"/>
  <c r="F346" i="1"/>
  <c r="I346" i="1"/>
  <c r="M346" i="1"/>
  <c r="P346" i="1"/>
  <c r="Q346" i="1" s="1"/>
  <c r="F345" i="1"/>
  <c r="I345" i="1"/>
  <c r="M345" i="1"/>
  <c r="P345" i="1"/>
  <c r="Q345" i="1" s="1"/>
  <c r="F344" i="1"/>
  <c r="I344" i="1"/>
  <c r="M344" i="1"/>
  <c r="P344" i="1"/>
  <c r="Q344" i="1" s="1"/>
  <c r="F343" i="1"/>
  <c r="I343" i="1"/>
  <c r="M343" i="1"/>
  <c r="P343" i="1"/>
  <c r="Q343" i="1" s="1"/>
  <c r="F342" i="1"/>
  <c r="I342" i="1"/>
  <c r="M342" i="1"/>
  <c r="P342" i="1"/>
  <c r="Q342" i="1" s="1"/>
  <c r="F341" i="1"/>
  <c r="I341" i="1"/>
  <c r="M341" i="1"/>
  <c r="P341" i="1"/>
  <c r="Q341" i="1" s="1"/>
  <c r="F340" i="1"/>
  <c r="I340" i="1"/>
  <c r="M340" i="1"/>
  <c r="P340" i="1"/>
  <c r="Q340" i="1" s="1"/>
  <c r="F339" i="1"/>
  <c r="I339" i="1"/>
  <c r="M339" i="1"/>
  <c r="P339" i="1"/>
  <c r="Q339" i="1" s="1"/>
  <c r="F338" i="1"/>
  <c r="I338" i="1"/>
  <c r="M338" i="1"/>
  <c r="P338" i="1"/>
  <c r="Q338" i="1" s="1"/>
  <c r="F337" i="1"/>
  <c r="I337" i="1"/>
  <c r="M337" i="1"/>
  <c r="P337" i="1"/>
  <c r="Q337" i="1" s="1"/>
  <c r="F336" i="1"/>
  <c r="I336" i="1"/>
  <c r="M336" i="1"/>
  <c r="P336" i="1"/>
  <c r="Q336" i="1" s="1"/>
  <c r="F335" i="1"/>
  <c r="I335" i="1"/>
  <c r="M335" i="1"/>
  <c r="P335" i="1"/>
  <c r="Q335" i="1" s="1"/>
  <c r="F334" i="1"/>
  <c r="I334" i="1"/>
  <c r="M334" i="1"/>
  <c r="P334" i="1"/>
  <c r="Q334" i="1" s="1"/>
  <c r="F333" i="1"/>
  <c r="I333" i="1"/>
  <c r="M333" i="1"/>
  <c r="P333" i="1"/>
  <c r="Q333" i="1" s="1"/>
  <c r="F331" i="1"/>
  <c r="F332" i="1"/>
  <c r="I331" i="1"/>
  <c r="I332" i="1"/>
  <c r="M331" i="1"/>
  <c r="M332" i="1"/>
  <c r="P331" i="1"/>
  <c r="Q331" i="1" s="1"/>
  <c r="P332" i="1"/>
  <c r="Q332" i="1" s="1"/>
  <c r="F329" i="1"/>
  <c r="F330" i="1"/>
  <c r="I329" i="1"/>
  <c r="I330" i="1"/>
  <c r="M329" i="1"/>
  <c r="M330" i="1"/>
  <c r="P329" i="1"/>
  <c r="Q329" i="1" s="1"/>
  <c r="P330" i="1"/>
  <c r="Q330" i="1" s="1"/>
  <c r="F327" i="1"/>
  <c r="F328" i="1"/>
  <c r="I327" i="1"/>
  <c r="I328" i="1"/>
  <c r="M327" i="1"/>
  <c r="M328" i="1"/>
  <c r="P327" i="1"/>
  <c r="Q327" i="1" s="1"/>
  <c r="P328" i="1"/>
  <c r="Q328" i="1" s="1"/>
  <c r="F326" i="1"/>
  <c r="I326" i="1"/>
  <c r="M326" i="1"/>
  <c r="P326" i="1"/>
  <c r="Q326" i="1" s="1"/>
  <c r="F325" i="1"/>
  <c r="I325" i="1"/>
  <c r="M325" i="1"/>
  <c r="P325" i="1"/>
  <c r="Q325" i="1" s="1"/>
  <c r="F324" i="1"/>
  <c r="I324" i="1"/>
  <c r="M324" i="1"/>
  <c r="P324" i="1"/>
  <c r="Q324" i="1" s="1"/>
  <c r="F323" i="1"/>
  <c r="I323" i="1"/>
  <c r="M323" i="1"/>
  <c r="P323" i="1"/>
  <c r="Q323" i="1" s="1"/>
  <c r="F322" i="1"/>
  <c r="I322" i="1"/>
  <c r="M322" i="1"/>
  <c r="P322" i="1"/>
  <c r="Q322" i="1" s="1"/>
  <c r="F321" i="1"/>
  <c r="I321" i="1"/>
  <c r="M321" i="1"/>
  <c r="P321" i="1"/>
  <c r="Q321" i="1" s="1"/>
  <c r="F320" i="1"/>
  <c r="I320" i="1"/>
  <c r="M320" i="1"/>
  <c r="P320" i="1"/>
  <c r="Q320" i="1" s="1"/>
  <c r="F319" i="1"/>
  <c r="I319" i="1"/>
  <c r="M319" i="1"/>
  <c r="P319" i="1"/>
  <c r="Q319" i="1" s="1"/>
  <c r="F317" i="1"/>
  <c r="F318" i="1"/>
  <c r="I317" i="1"/>
  <c r="I318" i="1"/>
  <c r="M317" i="1"/>
  <c r="M318" i="1"/>
  <c r="P317" i="1"/>
  <c r="Q317" i="1" s="1"/>
  <c r="P318" i="1"/>
  <c r="Q318" i="1" s="1"/>
  <c r="F316" i="1"/>
  <c r="I316" i="1"/>
  <c r="M316" i="1"/>
  <c r="P316" i="1"/>
  <c r="Q316" i="1" s="1"/>
  <c r="F315" i="1"/>
  <c r="I315" i="1"/>
  <c r="M315" i="1"/>
  <c r="P315" i="1"/>
  <c r="Q315" i="1" s="1"/>
  <c r="F314" i="1"/>
  <c r="I314" i="1"/>
  <c r="M314" i="1"/>
  <c r="P314" i="1"/>
  <c r="Q314" i="1" s="1"/>
  <c r="F310" i="1"/>
  <c r="F311" i="1"/>
  <c r="F312" i="1"/>
  <c r="F313" i="1"/>
  <c r="I310" i="1"/>
  <c r="I311" i="1"/>
  <c r="I312" i="1"/>
  <c r="I313" i="1"/>
  <c r="M310" i="1"/>
  <c r="M311" i="1"/>
  <c r="M312" i="1"/>
  <c r="M313" i="1"/>
  <c r="P310" i="1"/>
  <c r="Q310" i="1" s="1"/>
  <c r="P311" i="1"/>
  <c r="Q311" i="1" s="1"/>
  <c r="P312" i="1"/>
  <c r="Q312" i="1" s="1"/>
  <c r="P313" i="1"/>
  <c r="Q313" i="1" s="1"/>
  <c r="F308" i="1"/>
  <c r="F309" i="1"/>
  <c r="I308" i="1"/>
  <c r="I309" i="1"/>
  <c r="M308" i="1"/>
  <c r="M309" i="1"/>
  <c r="P308" i="1"/>
  <c r="Q308" i="1" s="1"/>
  <c r="P309" i="1"/>
  <c r="Q309" i="1" s="1"/>
  <c r="F307" i="1"/>
  <c r="I307" i="1"/>
  <c r="M307" i="1"/>
  <c r="P307" i="1"/>
  <c r="Q307" i="1" s="1"/>
  <c r="F306" i="1"/>
  <c r="I306" i="1"/>
  <c r="M306" i="1"/>
  <c r="P306" i="1"/>
  <c r="Q306" i="1" s="1"/>
  <c r="F305" i="1"/>
  <c r="I305" i="1"/>
  <c r="M305" i="1"/>
  <c r="P305" i="1"/>
  <c r="Q305" i="1" s="1"/>
  <c r="F304" i="1"/>
  <c r="I304" i="1"/>
  <c r="M304" i="1"/>
  <c r="P304" i="1"/>
  <c r="Q304" i="1" s="1"/>
  <c r="F303" i="1"/>
  <c r="I303" i="1"/>
  <c r="M303" i="1"/>
  <c r="P303" i="1"/>
  <c r="Q303" i="1" s="1"/>
  <c r="F302" i="1"/>
  <c r="I302" i="1"/>
  <c r="M302" i="1"/>
  <c r="P302" i="1"/>
  <c r="Q302" i="1" s="1"/>
  <c r="F301" i="1"/>
  <c r="I301" i="1"/>
  <c r="M301" i="1"/>
  <c r="P301" i="1"/>
  <c r="Q301" i="1" s="1"/>
  <c r="F300" i="1"/>
  <c r="I300" i="1"/>
  <c r="M300" i="1"/>
  <c r="P300" i="1"/>
  <c r="Q300" i="1" s="1"/>
  <c r="F299" i="1"/>
  <c r="I299" i="1"/>
  <c r="M299" i="1"/>
  <c r="P299" i="1"/>
  <c r="Q299" i="1" s="1"/>
  <c r="F296" i="1"/>
  <c r="F297" i="1"/>
  <c r="F298" i="1"/>
  <c r="I296" i="1"/>
  <c r="I297" i="1"/>
  <c r="I298" i="1"/>
  <c r="M296" i="1"/>
  <c r="M297" i="1"/>
  <c r="M298" i="1"/>
  <c r="P296" i="1"/>
  <c r="Q296" i="1" s="1"/>
  <c r="P297" i="1"/>
  <c r="Q297" i="1" s="1"/>
  <c r="P298" i="1"/>
  <c r="Q298" i="1" s="1"/>
  <c r="F295" i="1"/>
  <c r="I295" i="1"/>
  <c r="M295" i="1"/>
  <c r="P295" i="1"/>
  <c r="Q295" i="1" s="1"/>
  <c r="F294" i="1"/>
  <c r="I294" i="1"/>
  <c r="M294" i="1"/>
  <c r="P294" i="1"/>
  <c r="Q294" i="1" s="1"/>
  <c r="F293" i="1"/>
  <c r="I293" i="1"/>
  <c r="M293" i="1"/>
  <c r="P293" i="1"/>
  <c r="Q293" i="1" s="1"/>
  <c r="F292" i="1"/>
  <c r="I292" i="1"/>
  <c r="M292" i="1"/>
  <c r="P292" i="1"/>
  <c r="Q292" i="1" s="1"/>
  <c r="F291" i="1"/>
  <c r="I291" i="1"/>
  <c r="M291" i="1"/>
  <c r="P291" i="1"/>
  <c r="Q291" i="1" s="1"/>
  <c r="F290" i="1"/>
  <c r="I290" i="1"/>
  <c r="M290" i="1"/>
  <c r="P290" i="1"/>
  <c r="Q290" i="1" s="1"/>
  <c r="F288" i="1"/>
  <c r="F289" i="1"/>
  <c r="I288" i="1"/>
  <c r="I289" i="1"/>
  <c r="M288" i="1"/>
  <c r="M289" i="1"/>
  <c r="P288" i="1"/>
  <c r="Q288" i="1" s="1"/>
  <c r="P289" i="1"/>
  <c r="Q289" i="1" s="1"/>
  <c r="F287" i="1"/>
  <c r="I287" i="1"/>
  <c r="M287" i="1"/>
  <c r="P287" i="1"/>
  <c r="Q287" i="1" s="1"/>
  <c r="F286" i="1"/>
  <c r="I286" i="1"/>
  <c r="M286" i="1"/>
  <c r="P286" i="1"/>
  <c r="Q286" i="1" s="1"/>
  <c r="F284" i="1"/>
  <c r="F285" i="1"/>
  <c r="I284" i="1"/>
  <c r="I285" i="1"/>
  <c r="M284" i="1"/>
  <c r="M285" i="1"/>
  <c r="P284" i="1"/>
  <c r="Q284" i="1" s="1"/>
  <c r="P285" i="1"/>
  <c r="Q285" i="1" s="1"/>
  <c r="F283" i="1"/>
  <c r="I283" i="1"/>
  <c r="M283" i="1"/>
  <c r="P283" i="1"/>
  <c r="Q283" i="1" s="1"/>
  <c r="F281" i="1"/>
  <c r="F282" i="1"/>
  <c r="I281" i="1"/>
  <c r="I282" i="1"/>
  <c r="M281" i="1"/>
  <c r="M282" i="1"/>
  <c r="P281" i="1"/>
  <c r="Q281" i="1" s="1"/>
  <c r="P282" i="1"/>
  <c r="Q282" i="1" s="1"/>
  <c r="F279" i="1"/>
  <c r="F280" i="1"/>
  <c r="I279" i="1"/>
  <c r="I280" i="1"/>
  <c r="M279" i="1"/>
  <c r="M280" i="1"/>
  <c r="P279" i="1"/>
  <c r="Q279" i="1" s="1"/>
  <c r="P280" i="1"/>
  <c r="Q280" i="1" s="1"/>
  <c r="F278" i="1"/>
  <c r="I278" i="1"/>
  <c r="M278" i="1"/>
  <c r="P278" i="1"/>
  <c r="Q278" i="1" s="1"/>
  <c r="F276" i="1"/>
  <c r="F277" i="1"/>
  <c r="I276" i="1"/>
  <c r="I277" i="1"/>
  <c r="M276" i="1"/>
  <c r="M277" i="1"/>
  <c r="P276" i="1"/>
  <c r="Q276" i="1" s="1"/>
  <c r="P277" i="1"/>
  <c r="Q277" i="1" s="1"/>
  <c r="F275" i="1"/>
  <c r="I275" i="1"/>
  <c r="M275" i="1"/>
  <c r="P275" i="1"/>
  <c r="Q275" i="1" s="1"/>
  <c r="F274" i="1"/>
  <c r="I274" i="1"/>
  <c r="M274" i="1"/>
  <c r="P274" i="1"/>
  <c r="Q274" i="1" s="1"/>
  <c r="F273" i="1"/>
  <c r="I273" i="1"/>
  <c r="M273" i="1"/>
  <c r="P273" i="1"/>
  <c r="Q273" i="1" s="1"/>
  <c r="F271" i="1"/>
  <c r="F272" i="1"/>
  <c r="I271" i="1"/>
  <c r="I272" i="1"/>
  <c r="M271" i="1"/>
  <c r="M272" i="1"/>
  <c r="P271" i="1"/>
  <c r="Q271" i="1" s="1"/>
  <c r="P272" i="1"/>
  <c r="Q272" i="1" s="1"/>
  <c r="F270" i="1"/>
  <c r="I270" i="1"/>
  <c r="M270" i="1"/>
  <c r="P270" i="1"/>
  <c r="Q270" i="1" s="1"/>
  <c r="F269" i="1"/>
  <c r="I269" i="1"/>
  <c r="M269" i="1"/>
  <c r="P269" i="1"/>
  <c r="Q269" i="1" s="1"/>
  <c r="F268" i="1"/>
  <c r="I268" i="1"/>
  <c r="M268" i="1"/>
  <c r="P268" i="1"/>
  <c r="Q268" i="1" s="1"/>
  <c r="F267" i="1"/>
  <c r="I267" i="1"/>
  <c r="M267" i="1"/>
  <c r="P267" i="1"/>
  <c r="Q267" i="1" s="1"/>
  <c r="F266" i="1"/>
  <c r="I266" i="1"/>
  <c r="M266" i="1"/>
  <c r="P266" i="1"/>
  <c r="Q266" i="1" s="1"/>
  <c r="F265" i="1"/>
  <c r="I265" i="1"/>
  <c r="M265" i="1"/>
  <c r="P265" i="1"/>
  <c r="Q265" i="1" s="1"/>
  <c r="F264" i="1"/>
  <c r="I264" i="1"/>
  <c r="M264" i="1"/>
  <c r="P264" i="1"/>
  <c r="Q264" i="1" s="1"/>
  <c r="F262" i="1"/>
  <c r="F263" i="1"/>
  <c r="I262" i="1"/>
  <c r="I263" i="1"/>
  <c r="M262" i="1"/>
  <c r="M263" i="1"/>
  <c r="P262" i="1"/>
  <c r="Q262" i="1" s="1"/>
  <c r="P263" i="1"/>
  <c r="Q263" i="1" s="1"/>
  <c r="F258" i="1"/>
  <c r="F259" i="1"/>
  <c r="F260" i="1"/>
  <c r="F261" i="1"/>
  <c r="I258" i="1"/>
  <c r="I259" i="1"/>
  <c r="I260" i="1"/>
  <c r="I261" i="1"/>
  <c r="M258" i="1"/>
  <c r="M259" i="1"/>
  <c r="M260" i="1"/>
  <c r="M261" i="1"/>
  <c r="P258" i="1"/>
  <c r="Q258" i="1" s="1"/>
  <c r="P259" i="1"/>
  <c r="Q259" i="1" s="1"/>
  <c r="P260" i="1"/>
  <c r="Q260" i="1" s="1"/>
  <c r="P261" i="1"/>
  <c r="Q261" i="1" s="1"/>
  <c r="F257" i="1"/>
  <c r="I257" i="1"/>
  <c r="M257" i="1"/>
  <c r="P257" i="1"/>
  <c r="Q257" i="1" s="1"/>
  <c r="F256" i="1"/>
  <c r="I256" i="1"/>
  <c r="M256" i="1"/>
  <c r="P256" i="1"/>
  <c r="Q256" i="1" s="1"/>
  <c r="F244" i="1"/>
  <c r="F245" i="1"/>
  <c r="F246" i="1"/>
  <c r="F247" i="1"/>
  <c r="F248" i="1"/>
  <c r="F249" i="1"/>
  <c r="F250" i="1"/>
  <c r="F251" i="1"/>
  <c r="F252" i="1"/>
  <c r="F253" i="1"/>
  <c r="F254" i="1"/>
  <c r="F255" i="1"/>
  <c r="I244" i="1"/>
  <c r="I245" i="1"/>
  <c r="I246" i="1"/>
  <c r="I247" i="1"/>
  <c r="I248" i="1"/>
  <c r="I249" i="1"/>
  <c r="I250" i="1"/>
  <c r="I251" i="1"/>
  <c r="I252" i="1"/>
  <c r="I253" i="1"/>
  <c r="I254" i="1"/>
  <c r="I255" i="1"/>
  <c r="M244" i="1"/>
  <c r="M245" i="1"/>
  <c r="M246" i="1"/>
  <c r="M247" i="1"/>
  <c r="M248" i="1"/>
  <c r="M249" i="1"/>
  <c r="M250" i="1"/>
  <c r="M251" i="1"/>
  <c r="M252" i="1"/>
  <c r="M253" i="1"/>
  <c r="M254" i="1"/>
  <c r="M255" i="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F231" i="1"/>
  <c r="F232" i="1"/>
  <c r="F233" i="1"/>
  <c r="F234" i="1"/>
  <c r="F235" i="1"/>
  <c r="F236" i="1"/>
  <c r="F237" i="1"/>
  <c r="F238" i="1"/>
  <c r="F239" i="1"/>
  <c r="F240" i="1"/>
  <c r="F241" i="1"/>
  <c r="F242" i="1"/>
  <c r="F243" i="1"/>
  <c r="I231" i="1"/>
  <c r="I232" i="1"/>
  <c r="I233" i="1"/>
  <c r="I234" i="1"/>
  <c r="I235" i="1"/>
  <c r="I236" i="1"/>
  <c r="I237" i="1"/>
  <c r="I238" i="1"/>
  <c r="I239" i="1"/>
  <c r="I240" i="1"/>
  <c r="I241" i="1"/>
  <c r="I242" i="1"/>
  <c r="I243" i="1"/>
  <c r="M231" i="1"/>
  <c r="M232" i="1"/>
  <c r="M233" i="1"/>
  <c r="M234" i="1"/>
  <c r="M235" i="1"/>
  <c r="M236" i="1"/>
  <c r="M237" i="1"/>
  <c r="M238" i="1"/>
  <c r="M239" i="1"/>
  <c r="M240" i="1"/>
  <c r="M241" i="1"/>
  <c r="M242" i="1"/>
  <c r="M243" i="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F230" i="1"/>
  <c r="I230" i="1"/>
  <c r="M230" i="1"/>
  <c r="P230" i="1"/>
  <c r="Q230" i="1" s="1"/>
  <c r="F228" i="1"/>
  <c r="F229" i="1"/>
  <c r="I228" i="1"/>
  <c r="I229" i="1"/>
  <c r="M228" i="1"/>
  <c r="M229" i="1"/>
  <c r="P228" i="1"/>
  <c r="Q228" i="1" s="1"/>
  <c r="P229" i="1"/>
  <c r="Q229" i="1" s="1"/>
  <c r="F220" i="1"/>
  <c r="F221" i="1"/>
  <c r="F222" i="1"/>
  <c r="F223" i="1"/>
  <c r="F224" i="1"/>
  <c r="F225" i="1"/>
  <c r="F226" i="1"/>
  <c r="F227" i="1"/>
  <c r="I220" i="1"/>
  <c r="I221" i="1"/>
  <c r="I222" i="1"/>
  <c r="I223" i="1"/>
  <c r="I224" i="1"/>
  <c r="I225" i="1"/>
  <c r="I226" i="1"/>
  <c r="I227" i="1"/>
  <c r="M220" i="1"/>
  <c r="M221" i="1"/>
  <c r="M222" i="1"/>
  <c r="M223" i="1"/>
  <c r="M224" i="1"/>
  <c r="M225" i="1"/>
  <c r="M226" i="1"/>
  <c r="M227" i="1"/>
  <c r="P220" i="1"/>
  <c r="Q220" i="1" s="1"/>
  <c r="P221" i="1"/>
  <c r="Q221" i="1" s="1"/>
  <c r="P222" i="1"/>
  <c r="Q222" i="1" s="1"/>
  <c r="P223" i="1"/>
  <c r="Q223" i="1" s="1"/>
  <c r="P224" i="1"/>
  <c r="Q224" i="1" s="1"/>
  <c r="P225" i="1"/>
  <c r="Q225" i="1" s="1"/>
  <c r="P226" i="1"/>
  <c r="Q226" i="1" s="1"/>
  <c r="P227" i="1"/>
  <c r="Q227" i="1" s="1"/>
  <c r="F212" i="1"/>
  <c r="F213" i="1"/>
  <c r="F214" i="1"/>
  <c r="F215" i="1"/>
  <c r="F216" i="1"/>
  <c r="F217" i="1"/>
  <c r="F218" i="1"/>
  <c r="F219" i="1"/>
  <c r="I212" i="1"/>
  <c r="I213" i="1"/>
  <c r="I214" i="1"/>
  <c r="I215" i="1"/>
  <c r="I216" i="1"/>
  <c r="I217" i="1"/>
  <c r="I218" i="1"/>
  <c r="I219" i="1"/>
  <c r="M212" i="1"/>
  <c r="M213" i="1"/>
  <c r="M214" i="1"/>
  <c r="M215" i="1"/>
  <c r="M216" i="1"/>
  <c r="M217" i="1"/>
  <c r="M218" i="1"/>
  <c r="M219" i="1"/>
  <c r="P212" i="1"/>
  <c r="Q212" i="1" s="1"/>
  <c r="P213" i="1"/>
  <c r="Q213" i="1" s="1"/>
  <c r="P214" i="1"/>
  <c r="Q214" i="1" s="1"/>
  <c r="P215" i="1"/>
  <c r="Q215" i="1" s="1"/>
  <c r="P216" i="1"/>
  <c r="Q216" i="1" s="1"/>
  <c r="P217" i="1"/>
  <c r="Q217" i="1" s="1"/>
  <c r="P218" i="1"/>
  <c r="Q218" i="1" s="1"/>
  <c r="P219" i="1"/>
  <c r="Q219" i="1" s="1"/>
  <c r="F198" i="1"/>
  <c r="F199" i="1"/>
  <c r="F200" i="1"/>
  <c r="F201" i="1"/>
  <c r="F202" i="1"/>
  <c r="F203" i="1"/>
  <c r="F204" i="1"/>
  <c r="F205" i="1"/>
  <c r="F206" i="1"/>
  <c r="F207" i="1"/>
  <c r="F208" i="1"/>
  <c r="F209" i="1"/>
  <c r="F210" i="1"/>
  <c r="F211" i="1"/>
  <c r="I198" i="1"/>
  <c r="I199" i="1"/>
  <c r="I200" i="1"/>
  <c r="I201" i="1"/>
  <c r="I202" i="1"/>
  <c r="I203" i="1"/>
  <c r="I204" i="1"/>
  <c r="I205" i="1"/>
  <c r="I206" i="1"/>
  <c r="I207" i="1"/>
  <c r="I208" i="1"/>
  <c r="I209" i="1"/>
  <c r="I210" i="1"/>
  <c r="I211" i="1"/>
  <c r="M198" i="1"/>
  <c r="M199" i="1"/>
  <c r="M200" i="1"/>
  <c r="M201" i="1"/>
  <c r="M202" i="1"/>
  <c r="M203" i="1"/>
  <c r="M204" i="1"/>
  <c r="M205" i="1"/>
  <c r="M206" i="1"/>
  <c r="M207" i="1"/>
  <c r="M208" i="1"/>
  <c r="M209" i="1"/>
  <c r="M210" i="1"/>
  <c r="M211" i="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F192" i="1"/>
  <c r="F193" i="1"/>
  <c r="F194" i="1"/>
  <c r="F195" i="1"/>
  <c r="F196" i="1"/>
  <c r="F197" i="1"/>
  <c r="I192" i="1"/>
  <c r="I193" i="1"/>
  <c r="I194" i="1"/>
  <c r="I195" i="1"/>
  <c r="I196" i="1"/>
  <c r="I197" i="1"/>
  <c r="M192" i="1"/>
  <c r="M193" i="1"/>
  <c r="M194" i="1"/>
  <c r="M195" i="1"/>
  <c r="M196" i="1"/>
  <c r="M197" i="1"/>
  <c r="P192" i="1"/>
  <c r="Q192" i="1" s="1"/>
  <c r="P193" i="1"/>
  <c r="Q193" i="1" s="1"/>
  <c r="P194" i="1"/>
  <c r="Q194" i="1" s="1"/>
  <c r="P195" i="1"/>
  <c r="Q195" i="1" s="1"/>
  <c r="P196" i="1"/>
  <c r="Q196" i="1" s="1"/>
  <c r="P197" i="1"/>
  <c r="Q197" i="1" s="1"/>
  <c r="F177" i="1"/>
  <c r="F178" i="1"/>
  <c r="F179" i="1"/>
  <c r="F180" i="1"/>
  <c r="F181" i="1"/>
  <c r="F182" i="1"/>
  <c r="F183" i="1"/>
  <c r="F184" i="1"/>
  <c r="F185" i="1"/>
  <c r="F186" i="1"/>
  <c r="F187" i="1"/>
  <c r="F188" i="1"/>
  <c r="F189" i="1"/>
  <c r="F190" i="1"/>
  <c r="F191" i="1"/>
  <c r="I177" i="1"/>
  <c r="I178" i="1"/>
  <c r="I179" i="1"/>
  <c r="I180" i="1"/>
  <c r="I181" i="1"/>
  <c r="I182" i="1"/>
  <c r="I183" i="1"/>
  <c r="I184" i="1"/>
  <c r="I185" i="1"/>
  <c r="I186" i="1"/>
  <c r="I187" i="1"/>
  <c r="I188" i="1"/>
  <c r="I189" i="1"/>
  <c r="I190" i="1"/>
  <c r="I191" i="1"/>
  <c r="M177" i="1"/>
  <c r="M178" i="1"/>
  <c r="M179" i="1"/>
  <c r="M180" i="1"/>
  <c r="M181" i="1"/>
  <c r="M182" i="1"/>
  <c r="M183" i="1"/>
  <c r="M184" i="1"/>
  <c r="M185" i="1"/>
  <c r="M186" i="1"/>
  <c r="M187" i="1"/>
  <c r="M188" i="1"/>
  <c r="M189" i="1"/>
  <c r="M190" i="1"/>
  <c r="M191" i="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F175" i="1" l="1"/>
  <c r="F176" i="1"/>
  <c r="I175" i="1"/>
  <c r="I176" i="1"/>
  <c r="M175" i="1"/>
  <c r="M176" i="1"/>
  <c r="P175" i="1"/>
  <c r="Q175" i="1" s="1"/>
  <c r="P176" i="1"/>
  <c r="Q176" i="1" s="1"/>
  <c r="F174" i="1"/>
  <c r="I174" i="1"/>
  <c r="M174" i="1"/>
  <c r="P174" i="1"/>
  <c r="Q174" i="1" s="1"/>
  <c r="F173" i="1"/>
  <c r="I173" i="1"/>
  <c r="M173" i="1"/>
  <c r="P173" i="1"/>
  <c r="Q173" i="1" s="1"/>
  <c r="F172" i="1"/>
  <c r="I172" i="1"/>
  <c r="M172" i="1"/>
  <c r="P172" i="1"/>
  <c r="Q172" i="1" s="1"/>
  <c r="F171" i="1"/>
  <c r="I171" i="1"/>
  <c r="M171" i="1"/>
  <c r="P171" i="1"/>
  <c r="Q171" i="1" s="1"/>
  <c r="F170" i="1"/>
  <c r="I170" i="1"/>
  <c r="M170" i="1"/>
  <c r="P170" i="1"/>
  <c r="Q170" i="1" s="1"/>
  <c r="F169" i="1"/>
  <c r="I169" i="1"/>
  <c r="M169" i="1"/>
  <c r="P169" i="1"/>
  <c r="Q169" i="1" s="1"/>
  <c r="F168" i="1"/>
  <c r="I168" i="1"/>
  <c r="M168" i="1"/>
  <c r="P168" i="1"/>
  <c r="Q168" i="1" s="1"/>
  <c r="F167" i="1"/>
  <c r="I167" i="1"/>
  <c r="M167" i="1"/>
  <c r="P167" i="1"/>
  <c r="Q167" i="1" s="1"/>
  <c r="F166" i="1"/>
  <c r="I166" i="1"/>
  <c r="M166" i="1"/>
  <c r="P166" i="1"/>
  <c r="Q166" i="1" s="1"/>
  <c r="F165" i="1"/>
  <c r="I165" i="1"/>
  <c r="M165" i="1"/>
  <c r="P165" i="1"/>
  <c r="Q165" i="1" s="1"/>
  <c r="F164" i="1"/>
  <c r="I164" i="1"/>
  <c r="M164" i="1"/>
  <c r="P164" i="1"/>
  <c r="Q164" i="1" s="1"/>
  <c r="F163" i="1"/>
  <c r="I163" i="1"/>
  <c r="M163" i="1"/>
  <c r="P163" i="1"/>
  <c r="Q163" i="1" s="1"/>
  <c r="F162" i="1"/>
  <c r="I162" i="1"/>
  <c r="M162" i="1"/>
  <c r="P162" i="1"/>
  <c r="Q162" i="1" s="1"/>
  <c r="F161" i="1"/>
  <c r="I161" i="1"/>
  <c r="M161" i="1"/>
  <c r="P161" i="1"/>
  <c r="Q161" i="1" s="1"/>
  <c r="F160" i="1"/>
  <c r="I160" i="1"/>
  <c r="M160" i="1"/>
  <c r="P160" i="1"/>
  <c r="Q160" i="1" s="1"/>
  <c r="F159" i="1"/>
  <c r="I159" i="1"/>
  <c r="M159" i="1"/>
  <c r="P159" i="1"/>
  <c r="Q159" i="1" s="1"/>
  <c r="F158" i="1"/>
  <c r="I158" i="1"/>
  <c r="M158" i="1"/>
  <c r="P158" i="1"/>
  <c r="Q158" i="1" s="1"/>
  <c r="F157" i="1"/>
  <c r="I157" i="1"/>
  <c r="M157" i="1"/>
  <c r="P157" i="1"/>
  <c r="Q157" i="1" s="1"/>
  <c r="F156" i="1"/>
  <c r="I156" i="1"/>
  <c r="M156" i="1"/>
  <c r="P156" i="1"/>
  <c r="Q156" i="1" s="1"/>
  <c r="F155" i="1"/>
  <c r="I155" i="1"/>
  <c r="M155" i="1"/>
  <c r="P155" i="1"/>
  <c r="Q155" i="1" s="1"/>
  <c r="F154" i="1"/>
  <c r="I154" i="1"/>
  <c r="M154" i="1"/>
  <c r="P154" i="1"/>
  <c r="Q154" i="1" s="1"/>
  <c r="F153" i="1"/>
  <c r="I153" i="1"/>
  <c r="M153" i="1"/>
  <c r="P153" i="1"/>
  <c r="Q153" i="1" s="1"/>
  <c r="M141" i="1" l="1"/>
  <c r="M142" i="1"/>
  <c r="M143" i="1"/>
  <c r="M144" i="1"/>
  <c r="M145" i="1"/>
  <c r="M146" i="1"/>
  <c r="M147" i="1"/>
  <c r="M148" i="1"/>
  <c r="M149" i="1"/>
  <c r="M150" i="1"/>
  <c r="M151" i="1"/>
  <c r="M152" i="1"/>
  <c r="F151" i="1"/>
  <c r="F152" i="1"/>
  <c r="I151" i="1"/>
  <c r="I152" i="1"/>
  <c r="P151" i="1"/>
  <c r="Q151" i="1" s="1"/>
  <c r="P152" i="1"/>
  <c r="Q152" i="1" s="1"/>
  <c r="F150" i="1"/>
  <c r="I150" i="1"/>
  <c r="P150" i="1"/>
  <c r="Q150" i="1" s="1"/>
  <c r="F149" i="1"/>
  <c r="I149" i="1"/>
  <c r="P149" i="1"/>
  <c r="Q149" i="1" s="1"/>
  <c r="F148" i="1"/>
  <c r="I148" i="1"/>
  <c r="P148" i="1"/>
  <c r="Q148" i="1" s="1"/>
  <c r="F147" i="1"/>
  <c r="I147" i="1"/>
  <c r="P147" i="1"/>
  <c r="Q147" i="1" s="1"/>
  <c r="F146" i="1"/>
  <c r="I146" i="1"/>
  <c r="P146" i="1"/>
  <c r="Q146" i="1" s="1"/>
  <c r="F145" i="1"/>
  <c r="I145" i="1"/>
  <c r="P145" i="1"/>
  <c r="Q145" i="1" s="1"/>
  <c r="F144" i="1"/>
  <c r="I144" i="1"/>
  <c r="P144" i="1"/>
  <c r="Q144" i="1" s="1"/>
  <c r="F143" i="1"/>
  <c r="I143" i="1"/>
  <c r="P143" i="1"/>
  <c r="Q143" i="1" s="1"/>
  <c r="F142" i="1"/>
  <c r="I142" i="1"/>
  <c r="P142" i="1"/>
  <c r="Q142" i="1" s="1"/>
  <c r="F141" i="1"/>
  <c r="I141" i="1"/>
  <c r="P141" i="1"/>
  <c r="Q141" i="1" s="1"/>
  <c r="F137" i="1" l="1"/>
  <c r="F138" i="1"/>
  <c r="F139" i="1"/>
  <c r="F140" i="1"/>
  <c r="I137" i="1"/>
  <c r="I138" i="1"/>
  <c r="I139" i="1"/>
  <c r="I140" i="1"/>
  <c r="M137" i="1"/>
  <c r="M138" i="1"/>
  <c r="M139" i="1"/>
  <c r="M140" i="1"/>
  <c r="P137" i="1"/>
  <c r="Q137" i="1" s="1"/>
  <c r="P138" i="1"/>
  <c r="Q138" i="1" s="1"/>
  <c r="P139" i="1"/>
  <c r="Q139" i="1" s="1"/>
  <c r="P140" i="1"/>
  <c r="Q14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F135" i="1"/>
  <c r="F136" i="1"/>
  <c r="I135" i="1"/>
  <c r="I136" i="1"/>
  <c r="M135" i="1"/>
  <c r="M136" i="1"/>
  <c r="F132" i="1"/>
  <c r="F133" i="1"/>
  <c r="F134" i="1"/>
  <c r="I132" i="1"/>
  <c r="I133" i="1"/>
  <c r="I134" i="1"/>
  <c r="M132" i="1"/>
  <c r="M133" i="1"/>
  <c r="M134" i="1"/>
  <c r="F131" i="1"/>
  <c r="I131" i="1"/>
  <c r="M131" i="1"/>
  <c r="F130" i="1"/>
  <c r="I130" i="1"/>
  <c r="M130" i="1"/>
  <c r="F129" i="1"/>
  <c r="I129" i="1"/>
  <c r="M129" i="1"/>
  <c r="F128" i="1"/>
  <c r="I128" i="1"/>
  <c r="M128" i="1"/>
  <c r="F127" i="1"/>
  <c r="I127" i="1"/>
  <c r="M127" i="1"/>
  <c r="F126" i="1"/>
  <c r="I126" i="1"/>
  <c r="M126" i="1"/>
  <c r="F125" i="1"/>
  <c r="I125" i="1"/>
  <c r="M125" i="1"/>
  <c r="F124" i="1"/>
  <c r="I124" i="1"/>
  <c r="M124" i="1"/>
  <c r="F123" i="1"/>
  <c r="I123" i="1"/>
  <c r="M123" i="1"/>
  <c r="F122" i="1"/>
  <c r="I122" i="1"/>
  <c r="M122" i="1"/>
  <c r="F121" i="1"/>
  <c r="I121" i="1"/>
  <c r="M121" i="1"/>
  <c r="F120" i="1"/>
  <c r="I120" i="1"/>
  <c r="M120" i="1"/>
  <c r="F119" i="1"/>
  <c r="I119" i="1"/>
  <c r="M119" i="1"/>
  <c r="F118" i="1"/>
  <c r="I118" i="1"/>
  <c r="M118" i="1"/>
  <c r="F117" i="1"/>
  <c r="I117" i="1"/>
  <c r="M117" i="1"/>
  <c r="F115" i="1"/>
  <c r="F116" i="1"/>
  <c r="I115" i="1"/>
  <c r="I116" i="1"/>
  <c r="M115" i="1"/>
  <c r="M116" i="1"/>
  <c r="F114" i="1"/>
  <c r="I114" i="1"/>
  <c r="M114" i="1"/>
  <c r="F113" i="1"/>
  <c r="I113" i="1"/>
  <c r="M113" i="1"/>
  <c r="F112" i="1"/>
  <c r="I112" i="1"/>
  <c r="M112" i="1"/>
  <c r="F111" i="1"/>
  <c r="I111" i="1"/>
  <c r="M111" i="1"/>
  <c r="F110" i="1"/>
  <c r="I110" i="1"/>
  <c r="M110" i="1"/>
  <c r="F109" i="1"/>
  <c r="I109" i="1"/>
  <c r="M109" i="1"/>
  <c r="F108" i="1"/>
  <c r="I108" i="1"/>
  <c r="M108" i="1"/>
  <c r="F107" i="1"/>
  <c r="I107" i="1"/>
  <c r="M107" i="1"/>
  <c r="F106" i="1"/>
  <c r="I106" i="1"/>
  <c r="M106" i="1"/>
  <c r="F105" i="1"/>
  <c r="I105" i="1"/>
  <c r="M105" i="1"/>
  <c r="F104" i="1"/>
  <c r="I104" i="1"/>
  <c r="M104" i="1"/>
  <c r="F103" i="1"/>
  <c r="I103" i="1"/>
  <c r="M103" i="1"/>
  <c r="F102" i="1"/>
  <c r="I102" i="1"/>
  <c r="M102" i="1"/>
  <c r="F101" i="1"/>
  <c r="I101" i="1"/>
  <c r="M101" i="1"/>
  <c r="F100" i="1"/>
  <c r="I100" i="1"/>
  <c r="M100" i="1"/>
  <c r="F99" i="1"/>
  <c r="I99" i="1"/>
  <c r="M99" i="1"/>
  <c r="F98" i="1"/>
  <c r="I98" i="1"/>
  <c r="M98" i="1"/>
  <c r="F97" i="1"/>
  <c r="I97" i="1"/>
  <c r="M97" i="1"/>
  <c r="F96" i="1"/>
  <c r="I96" i="1"/>
  <c r="M96" i="1"/>
  <c r="F95" i="1"/>
  <c r="I95" i="1"/>
  <c r="M95" i="1"/>
  <c r="F94" i="1"/>
  <c r="I94" i="1"/>
  <c r="M94" i="1"/>
  <c r="F93" i="1"/>
  <c r="I93" i="1"/>
  <c r="M93" i="1"/>
  <c r="F92" i="1"/>
  <c r="I92" i="1"/>
  <c r="M92" i="1"/>
  <c r="F91" i="1"/>
  <c r="I91" i="1"/>
  <c r="M91" i="1"/>
  <c r="F90" i="1"/>
  <c r="I90" i="1"/>
  <c r="M90" i="1"/>
  <c r="F89" i="1"/>
  <c r="I89" i="1"/>
  <c r="M89" i="1"/>
  <c r="F88" i="1"/>
  <c r="I88" i="1"/>
  <c r="M88" i="1"/>
  <c r="F87" i="1"/>
  <c r="I87" i="1"/>
  <c r="M87" i="1"/>
  <c r="F86" i="1"/>
  <c r="I86" i="1"/>
  <c r="M86" i="1"/>
  <c r="F85" i="1"/>
  <c r="I85" i="1"/>
  <c r="M85" i="1"/>
  <c r="F84" i="1"/>
  <c r="I84" i="1"/>
  <c r="M84" i="1"/>
  <c r="F83" i="1"/>
  <c r="I83" i="1"/>
  <c r="M83" i="1"/>
  <c r="F82" i="1"/>
  <c r="I82" i="1"/>
  <c r="M82" i="1"/>
  <c r="F81" i="1"/>
  <c r="I81" i="1"/>
  <c r="M81" i="1"/>
  <c r="F80" i="1"/>
  <c r="I80" i="1"/>
  <c r="M80" i="1"/>
  <c r="F79" i="1"/>
  <c r="I79" i="1"/>
  <c r="M79" i="1"/>
  <c r="F78" i="1"/>
  <c r="I78" i="1"/>
  <c r="M78" i="1"/>
  <c r="F77" i="1"/>
  <c r="I77" i="1"/>
  <c r="M77" i="1"/>
  <c r="F76" i="1"/>
  <c r="I76" i="1"/>
  <c r="M76" i="1"/>
  <c r="F75" i="1"/>
  <c r="I75" i="1"/>
  <c r="M75" i="1"/>
  <c r="F74" i="1"/>
  <c r="I74" i="1"/>
  <c r="M74" i="1"/>
  <c r="F73" i="1"/>
  <c r="I73" i="1"/>
  <c r="M73" i="1"/>
  <c r="F72" i="1"/>
  <c r="I72" i="1"/>
  <c r="M72" i="1"/>
  <c r="F71" i="1"/>
  <c r="I71" i="1"/>
  <c r="M71" i="1"/>
  <c r="F70" i="1"/>
  <c r="I70" i="1"/>
  <c r="M70" i="1"/>
  <c r="F69" i="1"/>
  <c r="I69" i="1"/>
  <c r="M69" i="1"/>
  <c r="F68" i="1"/>
  <c r="I68" i="1"/>
  <c r="M68" i="1"/>
  <c r="F67" i="1"/>
  <c r="I67" i="1"/>
  <c r="M67" i="1"/>
  <c r="F66" i="1"/>
  <c r="I66" i="1"/>
  <c r="M66" i="1"/>
  <c r="F65" i="1"/>
  <c r="I65" i="1"/>
  <c r="M65" i="1"/>
  <c r="F64" i="1"/>
  <c r="I64" i="1"/>
  <c r="M64" i="1"/>
  <c r="F63" i="1"/>
  <c r="I63" i="1"/>
  <c r="M63" i="1"/>
  <c r="F62" i="1"/>
  <c r="I62" i="1"/>
  <c r="M62" i="1"/>
  <c r="F61" i="1"/>
  <c r="I61" i="1"/>
  <c r="M61" i="1"/>
  <c r="F60" i="1"/>
  <c r="I60" i="1"/>
  <c r="M60" i="1"/>
  <c r="F59" i="1"/>
  <c r="I59" i="1"/>
  <c r="M59" i="1"/>
  <c r="F58" i="1"/>
  <c r="I58" i="1"/>
  <c r="M58" i="1"/>
  <c r="F57" i="1"/>
  <c r="I57" i="1"/>
  <c r="M57" i="1"/>
  <c r="F56" i="1"/>
  <c r="I56" i="1"/>
  <c r="M56" i="1"/>
  <c r="F55" i="1"/>
  <c r="I55" i="1"/>
  <c r="M55" i="1"/>
  <c r="F54" i="1"/>
  <c r="I54" i="1"/>
  <c r="M54" i="1"/>
  <c r="F53" i="1"/>
  <c r="I53" i="1"/>
  <c r="M53" i="1"/>
  <c r="F52" i="1"/>
  <c r="I52" i="1"/>
  <c r="M52" i="1"/>
  <c r="F51" i="1"/>
  <c r="I51" i="1"/>
  <c r="M51" i="1"/>
  <c r="F50" i="1"/>
  <c r="I50" i="1"/>
  <c r="M50" i="1"/>
  <c r="F49" i="1"/>
  <c r="I49" i="1"/>
  <c r="M49" i="1"/>
  <c r="F48" i="1"/>
  <c r="I48" i="1"/>
  <c r="M48" i="1"/>
  <c r="F47" i="1"/>
  <c r="I47" i="1"/>
  <c r="M47" i="1"/>
  <c r="F46" i="1"/>
  <c r="I46" i="1"/>
  <c r="M46" i="1"/>
  <c r="F45" i="1"/>
  <c r="I45" i="1"/>
  <c r="M45" i="1"/>
  <c r="F44" i="1"/>
  <c r="I44" i="1"/>
  <c r="M44" i="1"/>
  <c r="F43" i="1"/>
  <c r="I43" i="1"/>
  <c r="M43" i="1"/>
  <c r="F42" i="1"/>
  <c r="I42" i="1"/>
  <c r="M42" i="1"/>
  <c r="F41" i="1"/>
  <c r="I41" i="1"/>
  <c r="M41" i="1"/>
  <c r="F40" i="1"/>
  <c r="I40" i="1"/>
  <c r="M40" i="1"/>
  <c r="F39" i="1"/>
  <c r="I39" i="1"/>
  <c r="M39" i="1"/>
  <c r="F38" i="1"/>
  <c r="I38" i="1"/>
  <c r="M38" i="1"/>
  <c r="F37" i="1"/>
  <c r="I37" i="1"/>
  <c r="M37" i="1"/>
  <c r="F36" i="1"/>
  <c r="I36" i="1"/>
  <c r="M36" i="1"/>
  <c r="F35" i="1"/>
  <c r="I35" i="1"/>
  <c r="M35" i="1"/>
  <c r="F34" i="1"/>
  <c r="I34" i="1"/>
  <c r="M34" i="1"/>
  <c r="F33" i="1"/>
  <c r="I33" i="1"/>
  <c r="M33" i="1"/>
  <c r="F32" i="1"/>
  <c r="I32" i="1"/>
  <c r="M32" i="1"/>
  <c r="F31" i="1"/>
  <c r="I31" i="1"/>
  <c r="M31" i="1"/>
  <c r="F30" i="1"/>
  <c r="I30" i="1"/>
  <c r="M30" i="1"/>
  <c r="F29" i="1"/>
  <c r="I29" i="1"/>
  <c r="M29" i="1"/>
  <c r="F28" i="1"/>
  <c r="I28" i="1"/>
  <c r="M28" i="1"/>
  <c r="F27" i="1"/>
  <c r="I27" i="1"/>
  <c r="M27" i="1"/>
  <c r="F26" i="1"/>
  <c r="I26" i="1"/>
  <c r="M26" i="1"/>
  <c r="F25" i="1"/>
  <c r="I25" i="1"/>
  <c r="M25" i="1"/>
  <c r="F24" i="1"/>
  <c r="I24" i="1"/>
  <c r="M24" i="1"/>
  <c r="F22" i="1"/>
  <c r="F23" i="1"/>
  <c r="I22" i="1"/>
  <c r="I23" i="1"/>
  <c r="M22" i="1"/>
  <c r="M23" i="1"/>
  <c r="F21" i="1"/>
  <c r="I21" i="1"/>
  <c r="M21" i="1"/>
  <c r="F20" i="1"/>
  <c r="I20" i="1"/>
  <c r="M20" i="1"/>
  <c r="F19" i="1"/>
  <c r="I19" i="1"/>
  <c r="M19" i="1"/>
  <c r="F18" i="1"/>
  <c r="I18" i="1"/>
  <c r="M18" i="1"/>
  <c r="F17" i="1"/>
  <c r="I17" i="1"/>
  <c r="M17" i="1"/>
  <c r="F16" i="1"/>
  <c r="I16" i="1"/>
  <c r="M16" i="1"/>
  <c r="F15" i="1"/>
  <c r="I15" i="1"/>
  <c r="M15" i="1"/>
  <c r="F14" i="1"/>
  <c r="I14" i="1"/>
  <c r="M14" i="1"/>
  <c r="F13" i="1"/>
  <c r="I13" i="1"/>
  <c r="L13" i="1"/>
  <c r="M13" i="1"/>
  <c r="F12" i="1"/>
  <c r="I12" i="1"/>
  <c r="L12" i="1"/>
  <c r="M12" i="1"/>
  <c r="F11" i="1"/>
  <c r="I11" i="1"/>
  <c r="L11" i="1"/>
  <c r="M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SAPROV (2)" description="Conexión a la consulta 'SAPROV (2)' en el libro." type="5" refreshedVersion="8" background="1" saveData="1">
    <dbPr connection="Provider=Microsoft.Mashup.OleDb.1;Data Source=$Workbook$;Location=&quot;SAPROV (2)&quot;;Extended Properties=&quot;&quot;" command="SELECT * FROM [SAPROV (2)]"/>
  </connection>
</connections>
</file>

<file path=xl/sharedStrings.xml><?xml version="1.0" encoding="utf-8"?>
<sst xmlns="http://schemas.openxmlformats.org/spreadsheetml/2006/main" count="8258" uniqueCount="1488">
  <si>
    <t>RESUMEN ANUAL</t>
  </si>
  <si>
    <t>FECHA</t>
  </si>
  <si>
    <t>REFERENCIA</t>
  </si>
  <si>
    <t>DESCRIPCIÓN</t>
  </si>
  <si>
    <t>MONTO BS</t>
  </si>
  <si>
    <t>D/C</t>
  </si>
  <si>
    <t>COD/CONT</t>
  </si>
  <si>
    <t>CONTABLE</t>
  </si>
  <si>
    <t>Columna2</t>
  </si>
  <si>
    <t>COD/SER</t>
  </si>
  <si>
    <t>SERVICIO</t>
  </si>
  <si>
    <t>Columna1</t>
  </si>
  <si>
    <t>TASA</t>
  </si>
  <si>
    <t>MONTO EN $</t>
  </si>
  <si>
    <t>BANCO</t>
  </si>
  <si>
    <t>OBSERVACIONES</t>
  </si>
  <si>
    <t>NªGASTO</t>
  </si>
  <si>
    <t>Nº</t>
  </si>
  <si>
    <t>CLASIFICACION</t>
  </si>
  <si>
    <t>SEDE</t>
  </si>
  <si>
    <t>D</t>
  </si>
  <si>
    <t>CUENTAS POR PAGAR PROVEEDORES</t>
  </si>
  <si>
    <t>MERCANTIL</t>
  </si>
  <si>
    <t>COMISIONES BANCARIAS</t>
  </si>
  <si>
    <t>GASTOS REPRESENTACION</t>
  </si>
  <si>
    <t>SENCAMER</t>
  </si>
  <si>
    <t>HONORARIOS PROFESIONALES</t>
  </si>
  <si>
    <t>66</t>
  </si>
  <si>
    <t>HANLEY MARTIN BORGE BALTODANO</t>
  </si>
  <si>
    <t>48</t>
  </si>
  <si>
    <t>001</t>
  </si>
  <si>
    <t>SEGURIDAD</t>
  </si>
  <si>
    <t>PROVEEDORES VARIOS</t>
  </si>
  <si>
    <t>003</t>
  </si>
  <si>
    <t>PROVEEDOR INTERNACIONAL</t>
  </si>
  <si>
    <t>02</t>
  </si>
  <si>
    <t>SENIAT</t>
  </si>
  <si>
    <t>03</t>
  </si>
  <si>
    <t>PARAFISCALES</t>
  </si>
  <si>
    <t>04</t>
  </si>
  <si>
    <t>05</t>
  </si>
  <si>
    <t>IMPUESTOS</t>
  </si>
  <si>
    <t>06</t>
  </si>
  <si>
    <t>07</t>
  </si>
  <si>
    <t>NOTARIAS</t>
  </si>
  <si>
    <t>08</t>
  </si>
  <si>
    <t>PERMISOS</t>
  </si>
  <si>
    <t>09</t>
  </si>
  <si>
    <t>ALCALDIA</t>
  </si>
  <si>
    <t>10</t>
  </si>
  <si>
    <t>SUNAGRO</t>
  </si>
  <si>
    <t>11</t>
  </si>
  <si>
    <t>VIATICO</t>
  </si>
  <si>
    <t>12</t>
  </si>
  <si>
    <t>COMBUSTIBLE</t>
  </si>
  <si>
    <t>13</t>
  </si>
  <si>
    <t>REFRIGERIOS</t>
  </si>
  <si>
    <t>14</t>
  </si>
  <si>
    <t>GASTOS PERSONALES</t>
  </si>
  <si>
    <t>15</t>
  </si>
  <si>
    <t>MAQUINARIAS</t>
  </si>
  <si>
    <t>16</t>
  </si>
  <si>
    <t>CAMIONES</t>
  </si>
  <si>
    <t>17</t>
  </si>
  <si>
    <t>VEHICULOS</t>
  </si>
  <si>
    <t>18</t>
  </si>
  <si>
    <t>19</t>
  </si>
  <si>
    <t>RUEDA DE NEGOCIOS</t>
  </si>
  <si>
    <t>20</t>
  </si>
  <si>
    <t>CONSTRUCCION</t>
  </si>
  <si>
    <t>21</t>
  </si>
  <si>
    <t>LANZAMIENTOS DE CAMPAÑA</t>
  </si>
  <si>
    <t>22</t>
  </si>
  <si>
    <t>PRODUCCION</t>
  </si>
  <si>
    <t>23</t>
  </si>
  <si>
    <t>TELECOMUNICACIONES</t>
  </si>
  <si>
    <t>24</t>
  </si>
  <si>
    <t>EQUIPOS DE TECNOLOGIAS U OFICINA</t>
  </si>
  <si>
    <t>25</t>
  </si>
  <si>
    <t>ARTICULOS DE OFICINA</t>
  </si>
  <si>
    <t>26</t>
  </si>
  <si>
    <t>INFORMATICA</t>
  </si>
  <si>
    <t>27</t>
  </si>
  <si>
    <t>CONTADOR</t>
  </si>
  <si>
    <t>28</t>
  </si>
  <si>
    <t>DAFNE</t>
  </si>
  <si>
    <t>29</t>
  </si>
  <si>
    <t>CORPOELEC</t>
  </si>
  <si>
    <t>30</t>
  </si>
  <si>
    <t>PUBLICIDAD</t>
  </si>
  <si>
    <t>31</t>
  </si>
  <si>
    <t>CONTAINER</t>
  </si>
  <si>
    <t>32</t>
  </si>
  <si>
    <t>TARJETA DE CREDITO</t>
  </si>
  <si>
    <t>33</t>
  </si>
  <si>
    <t>CAJA CHICA</t>
  </si>
  <si>
    <t>34</t>
  </si>
  <si>
    <t>PAGO EFECTIVO</t>
  </si>
  <si>
    <t>35</t>
  </si>
  <si>
    <t>DONACIONES</t>
  </si>
  <si>
    <t>36</t>
  </si>
  <si>
    <t>SUELDOS Y SALARIOS</t>
  </si>
  <si>
    <t>37</t>
  </si>
  <si>
    <t>ARTCULO DE LIMPIEZA</t>
  </si>
  <si>
    <t>38</t>
  </si>
  <si>
    <t>39</t>
  </si>
  <si>
    <t>FLETES</t>
  </si>
  <si>
    <t>40</t>
  </si>
  <si>
    <t>ORGANISMOS GUBERNAMENTALES</t>
  </si>
  <si>
    <t>41</t>
  </si>
  <si>
    <t>42</t>
  </si>
  <si>
    <t>GASTOS MEDCOS /EMPLEADOS</t>
  </si>
  <si>
    <t>43</t>
  </si>
  <si>
    <t>GASTOS MEDCOS /PERSONALES</t>
  </si>
  <si>
    <t>44</t>
  </si>
  <si>
    <t>BANCOS</t>
  </si>
  <si>
    <t>45</t>
  </si>
  <si>
    <t>CONDOMINIOS</t>
  </si>
  <si>
    <t>46</t>
  </si>
  <si>
    <t>PRESTAMOS</t>
  </si>
  <si>
    <t>47</t>
  </si>
  <si>
    <t>ADQUISION</t>
  </si>
  <si>
    <t>SISTEMA TMT</t>
  </si>
  <si>
    <t>49</t>
  </si>
  <si>
    <t>CXC TENDECIAS AB</t>
  </si>
  <si>
    <t>50</t>
  </si>
  <si>
    <t>CXC AGROTENDECIAS</t>
  </si>
  <si>
    <t>51</t>
  </si>
  <si>
    <t>CXC ALIMENTOS AGROTENDECIAS</t>
  </si>
  <si>
    <t>52</t>
  </si>
  <si>
    <t>CXC INDUSTRIAS AGROTENDECIAS</t>
  </si>
  <si>
    <t>53</t>
  </si>
  <si>
    <t>CXC AGUTI</t>
  </si>
  <si>
    <t>54</t>
  </si>
  <si>
    <t>CXC UTILISIMO AB</t>
  </si>
  <si>
    <t>55</t>
  </si>
  <si>
    <t>CUENTA POR COBRAR INVERSIONES AB 2000</t>
  </si>
  <si>
    <t>56</t>
  </si>
  <si>
    <t>CUENTAS XCOBRAR AB REPRESENTCIONES</t>
  </si>
  <si>
    <t>57</t>
  </si>
  <si>
    <t>CUENTA POR COBRAR RESGUARDO</t>
  </si>
  <si>
    <t>58</t>
  </si>
  <si>
    <t>CXC TRANSPORTE Y SERVCI</t>
  </si>
  <si>
    <t>59</t>
  </si>
  <si>
    <t>CXC AGREGADOS TENDECIAS</t>
  </si>
  <si>
    <t>60</t>
  </si>
  <si>
    <t>CXC HERAS NEW FASHION</t>
  </si>
  <si>
    <t>61</t>
  </si>
  <si>
    <t>CXC DIST &amp; IMPORT HJ</t>
  </si>
  <si>
    <t>62</t>
  </si>
  <si>
    <t>CXC SILOS AGROTENDECIAS</t>
  </si>
  <si>
    <t>63</t>
  </si>
  <si>
    <t>CXC AGROPCUARIA TENDENCIAS</t>
  </si>
  <si>
    <t>64</t>
  </si>
  <si>
    <t>CXC FARMATENDECIAS 1</t>
  </si>
  <si>
    <t>65</t>
  </si>
  <si>
    <t>CXC DROGUERIA TENDENCIAS</t>
  </si>
  <si>
    <t>CXC COMEC AGROTENDENCIA</t>
  </si>
  <si>
    <t>67</t>
  </si>
  <si>
    <t>CXC ASC.COOP. INETAR</t>
  </si>
  <si>
    <t>68</t>
  </si>
  <si>
    <t>CXC COMECIAL GLOBAL IMPORT</t>
  </si>
  <si>
    <t>69</t>
  </si>
  <si>
    <t>CXC TENDECIAS VENDE REALIDADES</t>
  </si>
  <si>
    <t>70</t>
  </si>
  <si>
    <t>DOTACION DE UNIFORME</t>
  </si>
  <si>
    <t>71</t>
  </si>
  <si>
    <t>ARACAL/CIARA</t>
  </si>
  <si>
    <t>72</t>
  </si>
  <si>
    <t>CAPACITACIONES</t>
  </si>
  <si>
    <t>73</t>
  </si>
  <si>
    <t>Campaña</t>
  </si>
  <si>
    <t>Codigo Dep</t>
  </si>
  <si>
    <t>Deposito</t>
  </si>
  <si>
    <t>005</t>
  </si>
  <si>
    <t>J-40524577-8</t>
  </si>
  <si>
    <t>002</t>
  </si>
  <si>
    <t>GUILLERMO COLMENAREZ</t>
  </si>
  <si>
    <t>01</t>
  </si>
  <si>
    <t>E-81942810-0</t>
  </si>
  <si>
    <t>PROVEEDOR</t>
  </si>
  <si>
    <t>ACRILICOS VIRGUEZ, C.A.</t>
  </si>
  <si>
    <t>J-085083766</t>
  </si>
  <si>
    <t>AGRICOLA NOVATERRA</t>
  </si>
  <si>
    <t>J500597193</t>
  </si>
  <si>
    <t>AGROFERRETERIA CAMPO ALEGRE</t>
  </si>
  <si>
    <t>J296883335</t>
  </si>
  <si>
    <t>AGROPACA</t>
  </si>
  <si>
    <t>J412594982</t>
  </si>
  <si>
    <t>AGROPECUARIA LAS DOS QUEBRADAS</t>
  </si>
  <si>
    <t>J308039209</t>
  </si>
  <si>
    <t>AGROPLUS VENEZUELA C.A</t>
  </si>
  <si>
    <t>J-50044103-7</t>
  </si>
  <si>
    <t>AGROTOTAL 2011, SA</t>
  </si>
  <si>
    <t>J-400085799</t>
  </si>
  <si>
    <t>ALCALDIA URACHICHE</t>
  </si>
  <si>
    <t>G200045507</t>
  </si>
  <si>
    <t>ALEXI FRANCISCO QUINTERO</t>
  </si>
  <si>
    <t>V047314000</t>
  </si>
  <si>
    <t>ALISMERI ROJAS</t>
  </si>
  <si>
    <t>V20468697</t>
  </si>
  <si>
    <t>ANGEL MORALES</t>
  </si>
  <si>
    <t>V22314455</t>
  </si>
  <si>
    <t>ANGEL SILVA</t>
  </si>
  <si>
    <t>V199723873</t>
  </si>
  <si>
    <t>ANGELA ILARRAZA</t>
  </si>
  <si>
    <t>V4772646</t>
  </si>
  <si>
    <t>ANSWERS TECNIT SERVIT, C.A</t>
  </si>
  <si>
    <t>J-400489326</t>
  </si>
  <si>
    <t>ANTIOQUIO GALINDEZ</t>
  </si>
  <si>
    <t>V7550846</t>
  </si>
  <si>
    <t>ANTONIO DURAN</t>
  </si>
  <si>
    <t>V6701712</t>
  </si>
  <si>
    <t>ANYELBI DAVID GALINDEZ</t>
  </si>
  <si>
    <t>V20320699</t>
  </si>
  <si>
    <t>ARCILIO DURAN</t>
  </si>
  <si>
    <t>16261437</t>
  </si>
  <si>
    <t>ARMANDO RESORTES 2023 CA</t>
  </si>
  <si>
    <t>J502738070</t>
  </si>
  <si>
    <t>ASOC COOP HNS VASQUEZ OROPEZA 225 RL</t>
  </si>
  <si>
    <t>J299166057</t>
  </si>
  <si>
    <t>AUTANA TUREN, C.A.</t>
  </si>
  <si>
    <t>J297391517</t>
  </si>
  <si>
    <t>AUTOACCESORIOS DON JOSE CA</t>
  </si>
  <si>
    <t>J314749650</t>
  </si>
  <si>
    <t>BELCAT CA</t>
  </si>
  <si>
    <t>J299892475</t>
  </si>
  <si>
    <t>BERLIS GONZALEZ</t>
  </si>
  <si>
    <t>V1228454</t>
  </si>
  <si>
    <t>BETZAIDA VASQUEZ</t>
  </si>
  <si>
    <t>V17612708</t>
  </si>
  <si>
    <t>BILLY AVILA</t>
  </si>
  <si>
    <t>V12728030</t>
  </si>
  <si>
    <t>BRILLA SHOP, C.A</t>
  </si>
  <si>
    <t>J-500696752</t>
  </si>
  <si>
    <t>BRUNO DAGROSA MARQUEZ</t>
  </si>
  <si>
    <t>V101384930</t>
  </si>
  <si>
    <t>BUSINESS CORPORATION, C.A</t>
  </si>
  <si>
    <t>J40546341-4</t>
  </si>
  <si>
    <t>CAMBUR STUDIOS, C.A</t>
  </si>
  <si>
    <t>J-50137104-0</t>
  </si>
  <si>
    <t>CARLOS ALVAREZ</t>
  </si>
  <si>
    <t>V30517700</t>
  </si>
  <si>
    <t>CARLOS ARMANDO SILVA MENDEZ</t>
  </si>
  <si>
    <t>V7329649</t>
  </si>
  <si>
    <t>carlos duran</t>
  </si>
  <si>
    <t>V15387507</t>
  </si>
  <si>
    <t>CARLOS RODRIGUEZ</t>
  </si>
  <si>
    <t>V11649156</t>
  </si>
  <si>
    <t>CARLOS TORREZ</t>
  </si>
  <si>
    <t>V19551634</t>
  </si>
  <si>
    <t>CASA RECORD CA</t>
  </si>
  <si>
    <t>J075029097</t>
  </si>
  <si>
    <t>CASAGRI DE LARA, C.A</t>
  </si>
  <si>
    <t>J-301164539</t>
  </si>
  <si>
    <t>CASAGRICOLA, C.A</t>
  </si>
  <si>
    <t>J-41014333-9</t>
  </si>
  <si>
    <t>CASTRO CORPORATION CA</t>
  </si>
  <si>
    <t>J411883891</t>
  </si>
  <si>
    <t>CATO CA</t>
  </si>
  <si>
    <t>J307554070</t>
  </si>
  <si>
    <t>CLARIANNY RODRIGUEZ</t>
  </si>
  <si>
    <t>19265452</t>
  </si>
  <si>
    <t>CLSRIANNY RODRIGUEZ</t>
  </si>
  <si>
    <t>V19265452</t>
  </si>
  <si>
    <t>COMERCIAL ANTILLANA CA</t>
  </si>
  <si>
    <t>J301984331</t>
  </si>
  <si>
    <t>COMERCIAL FORTUNA CENTER CA</t>
  </si>
  <si>
    <t>J500039077</t>
  </si>
  <si>
    <t>COMERCIAL SANFER C.A</t>
  </si>
  <si>
    <t>J-29395533-5</t>
  </si>
  <si>
    <t>COMERCIALIZADORA RADIAN GORDILLO</t>
  </si>
  <si>
    <t>V-19265125-1</t>
  </si>
  <si>
    <t>CONCRETERA OL-BLO-CO SRL</t>
  </si>
  <si>
    <t>J300148149</t>
  </si>
  <si>
    <t>CONSTRU STORE EXPRESS, C.A</t>
  </si>
  <si>
    <t>J-500662599</t>
  </si>
  <si>
    <t>CONSTRUAGRO 2050, C.A.</t>
  </si>
  <si>
    <t>J-500881231</t>
  </si>
  <si>
    <t>CONTROL VISUAL CA</t>
  </si>
  <si>
    <t>J29357876-0</t>
  </si>
  <si>
    <t>CORPORACION REPUESTOS AGRICOLAS CORACA CA</t>
  </si>
  <si>
    <t>J300533808</t>
  </si>
  <si>
    <t>CULTIVAR, C.A</t>
  </si>
  <si>
    <t>J-40008758-9</t>
  </si>
  <si>
    <t>DAVID NORIEGA</t>
  </si>
  <si>
    <t>V12083333</t>
  </si>
  <si>
    <t>DAYANETH VELASQUEZ</t>
  </si>
  <si>
    <t>V14495735</t>
  </si>
  <si>
    <t>DEISY CAROLINA VELASQUEZ LUGO</t>
  </si>
  <si>
    <t>V16819294</t>
  </si>
  <si>
    <t>DIESEL ENGINE &amp; COMPANY CA</t>
  </si>
  <si>
    <t>J408173034</t>
  </si>
  <si>
    <t>DINEXI HERNANDEZ</t>
  </si>
  <si>
    <t>V20320704</t>
  </si>
  <si>
    <t>DISTRIBUIDORA TUS MATERIALES CA</t>
  </si>
  <si>
    <t>J294973256</t>
  </si>
  <si>
    <t>DON WILIAM /CONSOLIDADO</t>
  </si>
  <si>
    <t>DOUGLA CORONEL</t>
  </si>
  <si>
    <t>V18684957</t>
  </si>
  <si>
    <t>DOUGLAS CASTILLO</t>
  </si>
  <si>
    <t>V186849547</t>
  </si>
  <si>
    <t>DOUGLAS LINARES</t>
  </si>
  <si>
    <t>V26583885</t>
  </si>
  <si>
    <t>EDER MONTOYA</t>
  </si>
  <si>
    <t>V30518412</t>
  </si>
  <si>
    <t>EDIXON HERNANDEZ</t>
  </si>
  <si>
    <t>V24001209</t>
  </si>
  <si>
    <t>ELPIDIO PEREIRA</t>
  </si>
  <si>
    <t>V6305709</t>
  </si>
  <si>
    <t>ERIXON XAVIER GONZALEZ</t>
  </si>
  <si>
    <t>V19712408</t>
  </si>
  <si>
    <t>ETI EXPRESS Y ALGO MAS DE VENEZUELA, C.A</t>
  </si>
  <si>
    <t>FABRIGOMAS UNIVERSAL CA</t>
  </si>
  <si>
    <t>J1299038407</t>
  </si>
  <si>
    <t>FARMACIA POPULAR YARITAGUA, C.A</t>
  </si>
  <si>
    <t>J-29718521-6</t>
  </si>
  <si>
    <t>FELIPE ALVAREZ</t>
  </si>
  <si>
    <t>V7517766</t>
  </si>
  <si>
    <t>FELIX BARRAGAN</t>
  </si>
  <si>
    <t>V17993586</t>
  </si>
  <si>
    <t>FERNANDO DIAZ</t>
  </si>
  <si>
    <t>V15966381</t>
  </si>
  <si>
    <t>FERRE SAN ROQUE CA</t>
  </si>
  <si>
    <t>J502691049</t>
  </si>
  <si>
    <t>FERREMIXT YARACUY 2030 CA</t>
  </si>
  <si>
    <t>V298299452</t>
  </si>
  <si>
    <t>FERRETORNILLOS</t>
  </si>
  <si>
    <t>J406630861</t>
  </si>
  <si>
    <t>FERTILIZANTES DEL TURBIO C.A</t>
  </si>
  <si>
    <t>J300733467</t>
  </si>
  <si>
    <t>FRANCIS ROJAS</t>
  </si>
  <si>
    <t>V19615595</t>
  </si>
  <si>
    <t>FULL AGRO 2013 C.A</t>
  </si>
  <si>
    <t>J-40363277-4</t>
  </si>
  <si>
    <t>fundacion nadbio</t>
  </si>
  <si>
    <t>J293939763</t>
  </si>
  <si>
    <t>GENERAL DIESEL C.A.</t>
  </si>
  <si>
    <t>J-085003118</t>
  </si>
  <si>
    <t>GERRADO INOJOSA</t>
  </si>
  <si>
    <t>V10860042</t>
  </si>
  <si>
    <t>GREGORIA PEREZ</t>
  </si>
  <si>
    <t>V10844530</t>
  </si>
  <si>
    <t>GREGORIO SOTO</t>
  </si>
  <si>
    <t>V21047085</t>
  </si>
  <si>
    <t>GRUPO DORVICA MOTORS I, C.A.</t>
  </si>
  <si>
    <t>J-312897953</t>
  </si>
  <si>
    <t>GUSTAVO ENRIQUE NOUEL BORGES</t>
  </si>
  <si>
    <t>V-06997832-7</t>
  </si>
  <si>
    <t>HANGAR FLY ON, C.A</t>
  </si>
  <si>
    <t>J-41026544-2</t>
  </si>
  <si>
    <t>HECTOR LOBATON</t>
  </si>
  <si>
    <t>V21302927</t>
  </si>
  <si>
    <t>HECTOR MORALES</t>
  </si>
  <si>
    <t>12980980</t>
  </si>
  <si>
    <t>HECTOR SALCEO</t>
  </si>
  <si>
    <t>V12282303</t>
  </si>
  <si>
    <t>HIDRASERCA CA</t>
  </si>
  <si>
    <t>J303850456</t>
  </si>
  <si>
    <t>HIDRASERCA, C.A</t>
  </si>
  <si>
    <t>J-30385045-6</t>
  </si>
  <si>
    <t>HIDRAULICA NINO CA</t>
  </si>
  <si>
    <t>J405661054</t>
  </si>
  <si>
    <t>HIERROX FERRETERO 2020 C.A</t>
  </si>
  <si>
    <t>J-500298005</t>
  </si>
  <si>
    <t>HILNALY GONZALEZ</t>
  </si>
  <si>
    <t>V17993339</t>
  </si>
  <si>
    <t>HOTEL TRINITARIAS SUITES, C.A.</t>
  </si>
  <si>
    <t>J315300249</t>
  </si>
  <si>
    <t>INDUSTRIA NACIONAL ALIMENTICIA DE GRANOS Y CEREALES CA</t>
  </si>
  <si>
    <t>J412070487</t>
  </si>
  <si>
    <t>INFERVEN D&amp;D, C.A</t>
  </si>
  <si>
    <t>J-40599975-6</t>
  </si>
  <si>
    <t>INNOVA BUSINESS CORPORATION, C.A</t>
  </si>
  <si>
    <t>J-405463414</t>
  </si>
  <si>
    <t>INVERFILTROS CA</t>
  </si>
  <si>
    <t>J309206680</t>
  </si>
  <si>
    <t>INVERSIONES AGROPECUARIAS CAMPO ALTO C.A</t>
  </si>
  <si>
    <t>J-50088623-3</t>
  </si>
  <si>
    <t>INVERSIONES BLACK JAVAS CA</t>
  </si>
  <si>
    <t>J403448582</t>
  </si>
  <si>
    <t>INVERSIONES COMPUTECNO GAMU C.A.</t>
  </si>
  <si>
    <t>J408832550</t>
  </si>
  <si>
    <t>INVERSIONES MALDONADO MORET</t>
  </si>
  <si>
    <t>V13188954</t>
  </si>
  <si>
    <t>INVERSIONES VICTORIA LIANGCHEN, C.A</t>
  </si>
  <si>
    <t>J-501990182</t>
  </si>
  <si>
    <t>ITALMECANICA S.A.</t>
  </si>
  <si>
    <t>J-085016740</t>
  </si>
  <si>
    <t>JACK TORRES</t>
  </si>
  <si>
    <t>V17157935</t>
  </si>
  <si>
    <t>JAVIER JAVIER</t>
  </si>
  <si>
    <t>V21049680</t>
  </si>
  <si>
    <t>JEICKZULI MORELI</t>
  </si>
  <si>
    <t>V30518591</t>
  </si>
  <si>
    <t>JESUS TORREALBA</t>
  </si>
  <si>
    <t>V14680697</t>
  </si>
  <si>
    <t>JEXON HERNANDEZ</t>
  </si>
  <si>
    <t>V27379743</t>
  </si>
  <si>
    <t>JHON CARRIZALEZ</t>
  </si>
  <si>
    <t>V30607211</t>
  </si>
  <si>
    <t>JOAQUIN DURAN</t>
  </si>
  <si>
    <t>V7370648</t>
  </si>
  <si>
    <t>JORGE PINEDA</t>
  </si>
  <si>
    <t>V15177935</t>
  </si>
  <si>
    <t>JOSE CORTEZ</t>
  </si>
  <si>
    <t>V7555358</t>
  </si>
  <si>
    <t>JOSE DE LA ASENCION HEREDIA</t>
  </si>
  <si>
    <t>V13797278</t>
  </si>
  <si>
    <t>JOSE HEREDIA</t>
  </si>
  <si>
    <t>V15387732</t>
  </si>
  <si>
    <t>JOSE RODRIGUEZ</t>
  </si>
  <si>
    <t>V19414179</t>
  </si>
  <si>
    <t>V7916192</t>
  </si>
  <si>
    <t>JOSE SIVIRA</t>
  </si>
  <si>
    <t>V27267365</t>
  </si>
  <si>
    <t>JOSE TERAN</t>
  </si>
  <si>
    <t>V19198730</t>
  </si>
  <si>
    <t>JOSUE SANTIAGO SIVIRA GUEDEZ</t>
  </si>
  <si>
    <t>V272673655</t>
  </si>
  <si>
    <t>JUAN CARLOS VASQUEZ</t>
  </si>
  <si>
    <t>V26835943</t>
  </si>
  <si>
    <t>JUAN CHIRINOS</t>
  </si>
  <si>
    <t>V20467332</t>
  </si>
  <si>
    <t>JUAN GILBERTO UZCATEGUI CONTRERAS</t>
  </si>
  <si>
    <t>V189539890</t>
  </si>
  <si>
    <t>JUAN HEREDIA</t>
  </si>
  <si>
    <t>V16112479</t>
  </si>
  <si>
    <t>JUAN MUJICA</t>
  </si>
  <si>
    <t>V16261437</t>
  </si>
  <si>
    <t>JUANA CASTILLO</t>
  </si>
  <si>
    <t>V11272692</t>
  </si>
  <si>
    <t>JULIO CHERUBINI</t>
  </si>
  <si>
    <t>V10373495</t>
  </si>
  <si>
    <t>KALIN KALIN</t>
  </si>
  <si>
    <t>V8514032</t>
  </si>
  <si>
    <t>KARELIS OROPEZA</t>
  </si>
  <si>
    <t>V30067728</t>
  </si>
  <si>
    <t>KEIBY PARADA</t>
  </si>
  <si>
    <t>V17814595</t>
  </si>
  <si>
    <t>KENNER ARMAS</t>
  </si>
  <si>
    <t>V26402252</t>
  </si>
  <si>
    <t>LAMINADOS NORBUEN , C.A.</t>
  </si>
  <si>
    <t>J-305425345</t>
  </si>
  <si>
    <t>LAUREANO MONTOYA</t>
  </si>
  <si>
    <t>12278947</t>
  </si>
  <si>
    <t>LIBRERIA Y QUINCALLERIA PALINO SRL</t>
  </si>
  <si>
    <t>V073092589</t>
  </si>
  <si>
    <t>LUIS LEON</t>
  </si>
  <si>
    <t>V16973944</t>
  </si>
  <si>
    <t>LUIS MENDEZ</t>
  </si>
  <si>
    <t>V21301502</t>
  </si>
  <si>
    <t>LUIS MENDOZA</t>
  </si>
  <si>
    <t>V9624703</t>
  </si>
  <si>
    <t>LUIS NAVAS</t>
  </si>
  <si>
    <t>V31153138</t>
  </si>
  <si>
    <t>LUIS RAMIREZ</t>
  </si>
  <si>
    <t>V12727452</t>
  </si>
  <si>
    <t>LUISANA D'HOY</t>
  </si>
  <si>
    <t>V16261116</t>
  </si>
  <si>
    <t>LUZ MARIA</t>
  </si>
  <si>
    <t>V12284162</t>
  </si>
  <si>
    <t>MANUEL CATARI</t>
  </si>
  <si>
    <t>V12796178</t>
  </si>
  <si>
    <t>MANUEL ESCALONA</t>
  </si>
  <si>
    <t>V15767195</t>
  </si>
  <si>
    <t>MANUEL RAGA</t>
  </si>
  <si>
    <t>V7502105</t>
  </si>
  <si>
    <t>MARIA ARIAS</t>
  </si>
  <si>
    <t>V29703026</t>
  </si>
  <si>
    <t>MARIA ESCUDERO</t>
  </si>
  <si>
    <t>V16112548</t>
  </si>
  <si>
    <t>MARIA MOREZZU</t>
  </si>
  <si>
    <t>V14874695</t>
  </si>
  <si>
    <t>MARIA OCHOA</t>
  </si>
  <si>
    <t>V2513753</t>
  </si>
  <si>
    <t>MARIA PALACIOS</t>
  </si>
  <si>
    <t>V11648963</t>
  </si>
  <si>
    <t>MARIA VASQUEZ</t>
  </si>
  <si>
    <t>V22312402</t>
  </si>
  <si>
    <t>MARIZOL RIVERO</t>
  </si>
  <si>
    <t>V7585339</t>
  </si>
  <si>
    <t>MATERIALES SANTA LUCIA CA</t>
  </si>
  <si>
    <t>J309120603</t>
  </si>
  <si>
    <t>MAYAGRO BRUZUAL CA</t>
  </si>
  <si>
    <t>J304240376</t>
  </si>
  <si>
    <t>MEDIVED DEL ESTE, C.A</t>
  </si>
  <si>
    <t>J-29708661-7</t>
  </si>
  <si>
    <t>METAL MECANICA CHERUBINI, C.A</t>
  </si>
  <si>
    <t>J-403982627</t>
  </si>
  <si>
    <t>MIGUEL CATARI</t>
  </si>
  <si>
    <t>V12796172</t>
  </si>
  <si>
    <t>MILETZA MUJICA</t>
  </si>
  <si>
    <t>V14336403</t>
  </si>
  <si>
    <t>MILETZA SANCHEZ</t>
  </si>
  <si>
    <t>V17942377</t>
  </si>
  <si>
    <t>MIRTHA ORTIZ</t>
  </si>
  <si>
    <t>V8517132</t>
  </si>
  <si>
    <t>MIXTO AGRICOLA HERMANOS MONTILLA C.A</t>
  </si>
  <si>
    <t>J-31409991-4</t>
  </si>
  <si>
    <t>MJ MISE EN PLACE CA</t>
  </si>
  <si>
    <t>J409936740</t>
  </si>
  <si>
    <t>MULTI SUPPLY MB CA</t>
  </si>
  <si>
    <t>J316200086</t>
  </si>
  <si>
    <t>MULTIREPUESTOS BELGOD CA</t>
  </si>
  <si>
    <t>J413239329</t>
  </si>
  <si>
    <t>NELSON ALVARADO</t>
  </si>
  <si>
    <t>V20319956</t>
  </si>
  <si>
    <t>NELSON OROPEZA</t>
  </si>
  <si>
    <t>V5465691</t>
  </si>
  <si>
    <t>NILCAR 2015 CA</t>
  </si>
  <si>
    <t>J405865202</t>
  </si>
  <si>
    <t>NR INDUSTRIAL, C.A</t>
  </si>
  <si>
    <t>J-406211095</t>
  </si>
  <si>
    <t>NUEVOS</t>
  </si>
  <si>
    <t>ORINOCO GRILL C.A</t>
  </si>
  <si>
    <t>J402118317</t>
  </si>
  <si>
    <t>J50128967-0</t>
  </si>
  <si>
    <t>ORVAL SA</t>
  </si>
  <si>
    <t>J307387831</t>
  </si>
  <si>
    <t>OSWALDO COLMENAREZ</t>
  </si>
  <si>
    <t>V7437664</t>
  </si>
  <si>
    <t>OVIDIO PALERMO</t>
  </si>
  <si>
    <t>V11652864</t>
  </si>
  <si>
    <t>PABLO GERARDO LEON GUAREMAL MOTOS</t>
  </si>
  <si>
    <t>V108576908</t>
  </si>
  <si>
    <t>PLASTISERIES C.A</t>
  </si>
  <si>
    <t>J310141932</t>
  </si>
  <si>
    <t>QUALITY MOTORS , C.A</t>
  </si>
  <si>
    <t>J-409850129</t>
  </si>
  <si>
    <t>RAFAEL OSCAR PACHECO CASTILLO</t>
  </si>
  <si>
    <t>V115207519</t>
  </si>
  <si>
    <t>REPRESENTACIONES  LUIMAR CA</t>
  </si>
  <si>
    <t>J304837666</t>
  </si>
  <si>
    <t>REPUESTOS HRN 2020 CA</t>
  </si>
  <si>
    <t>J500673124</t>
  </si>
  <si>
    <t>RIGOBERTA DURAN</t>
  </si>
  <si>
    <t>V7677659</t>
  </si>
  <si>
    <t>ROBERT NAVAS</t>
  </si>
  <si>
    <t>V23570444</t>
  </si>
  <si>
    <t>ROSA MUJICA</t>
  </si>
  <si>
    <t>V17319940</t>
  </si>
  <si>
    <t>RUBY CENSINA IANNELLI DE CARMONA</t>
  </si>
  <si>
    <t>V075071856</t>
  </si>
  <si>
    <t>SELLOS HIDRAULICOS CA</t>
  </si>
  <si>
    <t>J317378849</t>
  </si>
  <si>
    <t>SERVICIO SOCIALISTA AGRICOLA YARACUY, C.A</t>
  </si>
  <si>
    <t>G-20010429-5</t>
  </si>
  <si>
    <t>SERVICIOS METALMECANICOS INDUSTRIALES SRL</t>
  </si>
  <si>
    <t>J305025339</t>
  </si>
  <si>
    <t>SUMINISTROS Y SERVICIOS D &amp; G CA</t>
  </si>
  <si>
    <t>J406089559</t>
  </si>
  <si>
    <t>SUPER AUTOS YARITAGUA, C.A.</t>
  </si>
  <si>
    <t>J-405723505</t>
  </si>
  <si>
    <t>SUPLIDORA DEL CAMPO C.A</t>
  </si>
  <si>
    <t>J075306554</t>
  </si>
  <si>
    <t>SUPLIRES CA</t>
  </si>
  <si>
    <t>J307040645</t>
  </si>
  <si>
    <t>TALLER AGROINDUSTRIAL MOLI, C.A.</t>
  </si>
  <si>
    <t>J-294771106</t>
  </si>
  <si>
    <t>VALDEMAR QUINONES</t>
  </si>
  <si>
    <t>V7914306</t>
  </si>
  <si>
    <t>VHEA CA</t>
  </si>
  <si>
    <t>J601379181</t>
  </si>
  <si>
    <t>WENCIA VALERA</t>
  </si>
  <si>
    <t>V7322180</t>
  </si>
  <si>
    <t>WILLIAN JOSE SUAREZ PEREZ</t>
  </si>
  <si>
    <t>V116489496</t>
  </si>
  <si>
    <t>WILLINA MAYAGRO</t>
  </si>
  <si>
    <t>V9517822</t>
  </si>
  <si>
    <t>WUILMER R RENDILES</t>
  </si>
  <si>
    <t>V16469452</t>
  </si>
  <si>
    <t>YAJAIRA CANELON</t>
  </si>
  <si>
    <t>V5246810</t>
  </si>
  <si>
    <t>YAMILEIDI PEREZ</t>
  </si>
  <si>
    <t>V20319402</t>
  </si>
  <si>
    <t>YANET RODRIGUEZ</t>
  </si>
  <si>
    <t>V18881680</t>
  </si>
  <si>
    <t>YEISMAR MARTINEZ</t>
  </si>
  <si>
    <t>V27012094</t>
  </si>
  <si>
    <t>YENNY RODRIGUEZ</t>
  </si>
  <si>
    <t>V22301567</t>
  </si>
  <si>
    <t>YHOANA RIVERO</t>
  </si>
  <si>
    <t>V20542405</t>
  </si>
  <si>
    <t>YOLY PETIT</t>
  </si>
  <si>
    <t>V15387537</t>
  </si>
  <si>
    <t>YONNY JUAREZ</t>
  </si>
  <si>
    <t>V16974383</t>
  </si>
  <si>
    <t>ADMINISTRATIVOS</t>
  </si>
  <si>
    <t>A01</t>
  </si>
  <si>
    <t>? ADQUSICION DE HERRAMIENTAS/TALLER</t>
  </si>
  <si>
    <t>SERV0020</t>
  </si>
  <si>
    <t>SERV0020E</t>
  </si>
  <si>
    <t>?ADQUISICION BIENES INMUEBLES</t>
  </si>
  <si>
    <t>SERV0056</t>
  </si>
  <si>
    <t>SERV0056E</t>
  </si>
  <si>
    <t>?ADQUISICION BIENES MUEBLES</t>
  </si>
  <si>
    <t>SERV0057</t>
  </si>
  <si>
    <t>SERV0057E</t>
  </si>
  <si>
    <t>?ADQUISICION DE EQUIPOS DE LABORATORIO</t>
  </si>
  <si>
    <t>SERV0128</t>
  </si>
  <si>
    <t>SERV0128E</t>
  </si>
  <si>
    <t>?ADQUISICION MOBILIARIO</t>
  </si>
  <si>
    <t>SERV0055</t>
  </si>
  <si>
    <t>SERV0055E</t>
  </si>
  <si>
    <t>?BENEFICIO ALIMENTICIO</t>
  </si>
  <si>
    <t>SERV0202</t>
  </si>
  <si>
    <t>SERV0202E</t>
  </si>
  <si>
    <t>?CARGA Y DESGARGA DE GANDOLA</t>
  </si>
  <si>
    <t>SERV0207</t>
  </si>
  <si>
    <t>SERV0207E</t>
  </si>
  <si>
    <t>?COMISIONES BANCARIAS</t>
  </si>
  <si>
    <t>SERV0060</t>
  </si>
  <si>
    <t>SERV0060E</t>
  </si>
  <si>
    <t>?COMISIONES ESPECIALES</t>
  </si>
  <si>
    <t>SERV0068</t>
  </si>
  <si>
    <t>SERV0068E</t>
  </si>
  <si>
    <t>?COMPRA DE SEMILLA</t>
  </si>
  <si>
    <t>SERV0148</t>
  </si>
  <si>
    <t>SERV0148E</t>
  </si>
  <si>
    <t>?COMPRA FERTILIZANTE</t>
  </si>
  <si>
    <t>SERV0149E</t>
  </si>
  <si>
    <t>?COMPRA VEHICULO/ACTIVO</t>
  </si>
  <si>
    <t>SERV0066</t>
  </si>
  <si>
    <t>SERV0066E</t>
  </si>
  <si>
    <t>?CONSTRUCCION INSTALACIONES GALPON</t>
  </si>
  <si>
    <t>SERV0003</t>
  </si>
  <si>
    <t>SERV0003E</t>
  </si>
  <si>
    <t>?CONSUMIBLES EQUIPOS IMPRESORAS</t>
  </si>
  <si>
    <t>SERV0074</t>
  </si>
  <si>
    <t>SERV0074E</t>
  </si>
  <si>
    <t>?CUENTAS POR COBRAR AGRICOLA &amp; LEGUMINOS</t>
  </si>
  <si>
    <t>SERV0161</t>
  </si>
  <si>
    <t>SERV0161E</t>
  </si>
  <si>
    <t>?CUENTAS POR COBRAR COMERCIAL GLOBAL IMP</t>
  </si>
  <si>
    <t>SERV0162</t>
  </si>
  <si>
    <t>SERV0162E</t>
  </si>
  <si>
    <t>?CUENTAS POR COBRAR DEISY</t>
  </si>
  <si>
    <t>SERV0117</t>
  </si>
  <si>
    <t>SERV0117E</t>
  </si>
  <si>
    <t>?CUENTAS POR COBRAR EMPLEADOS</t>
  </si>
  <si>
    <t>SERV0070</t>
  </si>
  <si>
    <t>SERV0070E</t>
  </si>
  <si>
    <t>?DONACIONES</t>
  </si>
  <si>
    <t>SERV0005</t>
  </si>
  <si>
    <t>SERV0005E</t>
  </si>
  <si>
    <t>?DOTACION UNIFORMES</t>
  </si>
  <si>
    <t>SERV0034</t>
  </si>
  <si>
    <t>SERV0034E</t>
  </si>
  <si>
    <t>?EQUIPOS DE TECNOLOGIA</t>
  </si>
  <si>
    <t>SERV0007</t>
  </si>
  <si>
    <t>SERV0007E</t>
  </si>
  <si>
    <t>?EVENTOS CORPORATIVOS/FIESTAS</t>
  </si>
  <si>
    <t>SERV0062</t>
  </si>
  <si>
    <t>SERV0062E</t>
  </si>
  <si>
    <t>?FLETES</t>
  </si>
  <si>
    <t>SERV0049</t>
  </si>
  <si>
    <t xml:space="preserve">?FLETES </t>
  </si>
  <si>
    <t>SERV0049E</t>
  </si>
  <si>
    <t>?GAS</t>
  </si>
  <si>
    <t>SERV0156</t>
  </si>
  <si>
    <t>SERV0156E</t>
  </si>
  <si>
    <t>?GASTOS AGUA POTABLE/CISTERNA</t>
  </si>
  <si>
    <t>SERV0065</t>
  </si>
  <si>
    <t>SERV0065E</t>
  </si>
  <si>
    <t>?GASTOS ARACAL/CIARA</t>
  </si>
  <si>
    <t>SERV0160</t>
  </si>
  <si>
    <t>SERV0160E</t>
  </si>
  <si>
    <t>?GASTOS ARRENDAMIENTO/ALQUILER TERRENO</t>
  </si>
  <si>
    <t>SERV0078</t>
  </si>
  <si>
    <t>SERV0078E</t>
  </si>
  <si>
    <t>?GASTOS ASEO</t>
  </si>
  <si>
    <t>SERV0071</t>
  </si>
  <si>
    <t>SERV0071E</t>
  </si>
  <si>
    <t>?GASTOS COMBUSTIBLE/ GASOIL</t>
  </si>
  <si>
    <t>SERV0037</t>
  </si>
  <si>
    <t>SERV0037E</t>
  </si>
  <si>
    <t>?GASTOS COMBUSTIBLE/ GASOLINA</t>
  </si>
  <si>
    <t>SERV0038</t>
  </si>
  <si>
    <t>SERV0038E</t>
  </si>
  <si>
    <t>?GASTOS CONTADOR</t>
  </si>
  <si>
    <t>SERV0040</t>
  </si>
  <si>
    <t>SERV0040E</t>
  </si>
  <si>
    <t>?GASTOS CURSOS/ CAPACITACION PERSONAL</t>
  </si>
  <si>
    <t>SERV0035</t>
  </si>
  <si>
    <t>SERV0035E</t>
  </si>
  <si>
    <t>?GASTOS DE ADUANA DE EXPORTACION</t>
  </si>
  <si>
    <t>SERV0206</t>
  </si>
  <si>
    <t>SERV0206E</t>
  </si>
  <si>
    <t xml:space="preserve">?GASTOS DE NACIONALIZACION </t>
  </si>
  <si>
    <t>SERV0046</t>
  </si>
  <si>
    <t>SERV0046E</t>
  </si>
  <si>
    <t>?GASTOS DIRECTIVA</t>
  </si>
  <si>
    <t>SERV0080</t>
  </si>
  <si>
    <t>SERV0080E</t>
  </si>
  <si>
    <t>?GASTOS DOCUMENTOS ROC/TITULOS</t>
  </si>
  <si>
    <t>SERV0090</t>
  </si>
  <si>
    <t>SERV0090E</t>
  </si>
  <si>
    <t>?GASTOS ENERGIA ELECTRICA/CORPOELEC</t>
  </si>
  <si>
    <t>SERV0067</t>
  </si>
  <si>
    <t>SERV0067E</t>
  </si>
  <si>
    <t>?GASTOS EQUIPOS MARKETING</t>
  </si>
  <si>
    <t>SERV0015</t>
  </si>
  <si>
    <t>SERV0015E</t>
  </si>
  <si>
    <t>?GASTOS FLETES INTERNACIONALES</t>
  </si>
  <si>
    <t>SERV0047</t>
  </si>
  <si>
    <t>SERV0047E</t>
  </si>
  <si>
    <t>?GASTOS INTERNET/ TELECOMUNICACIONES</t>
  </si>
  <si>
    <t>SERV0031</t>
  </si>
  <si>
    <t>SERV0031E</t>
  </si>
  <si>
    <t>?GASTOS LANZAMIENTOS/PUBLICIDAD</t>
  </si>
  <si>
    <t>SERV0016</t>
  </si>
  <si>
    <t>SERV0016E</t>
  </si>
  <si>
    <t>?GASTOS LIMPIEZA Y MANTENIMIENTO/INSUMOS</t>
  </si>
  <si>
    <t>SERV0032</t>
  </si>
  <si>
    <t>SERV0032E</t>
  </si>
  <si>
    <t>?GASTOS MEDICOS EMPLEADO</t>
  </si>
  <si>
    <t>SERV0069</t>
  </si>
  <si>
    <t>SERV0069E</t>
  </si>
  <si>
    <t>?GASTOS PARAFISCALES</t>
  </si>
  <si>
    <t>SERV0043</t>
  </si>
  <si>
    <t>?GASTOS PARAFISCALES/SSO/ FAOV/INCES</t>
  </si>
  <si>
    <t>SERV0043E</t>
  </si>
  <si>
    <t>?GASTOS PERSONALES/CASA</t>
  </si>
  <si>
    <t>SERV0044</t>
  </si>
  <si>
    <t>SERV0044E</t>
  </si>
  <si>
    <t>?GASTOS PERSONALES/MEDICOS</t>
  </si>
  <si>
    <t>SERV0045</t>
  </si>
  <si>
    <t>SERV0045E</t>
  </si>
  <si>
    <t>?GASTOS REFRIGERIOS/EMPRESA</t>
  </si>
  <si>
    <t>SERV0033</t>
  </si>
  <si>
    <t>SERV0033E</t>
  </si>
  <si>
    <t>?GASTOS RUEDAS DE NEGOCIOS</t>
  </si>
  <si>
    <t>SERV0017</t>
  </si>
  <si>
    <t>SERV0017E</t>
  </si>
  <si>
    <t>?GASTOS SENCAMER</t>
  </si>
  <si>
    <t>SERV0075</t>
  </si>
  <si>
    <t>SERV0075E</t>
  </si>
  <si>
    <t>?GASTOS SENIAT</t>
  </si>
  <si>
    <t>SERV0050</t>
  </si>
  <si>
    <t>SERV0050E</t>
  </si>
  <si>
    <t>?GASTOS TRAMITE NOTARIA</t>
  </si>
  <si>
    <t>SERV0092</t>
  </si>
  <si>
    <t>SERV0092E</t>
  </si>
  <si>
    <t>?GASTOS TRAMITES BOMBEROS</t>
  </si>
  <si>
    <t>SERV0157</t>
  </si>
  <si>
    <t>SERV0157E</t>
  </si>
  <si>
    <t>?GASTOS TRAMITES IMPUESTOS ALCALDIA</t>
  </si>
  <si>
    <t>SERV0042</t>
  </si>
  <si>
    <t>SERV0042E</t>
  </si>
  <si>
    <t>?GASTOS TRAMITES/ PERMISOS SANIDAD/SAPI</t>
  </si>
  <si>
    <t>SERV0041</t>
  </si>
  <si>
    <t>SERV0041E</t>
  </si>
  <si>
    <t>?GASTOS VARIOS SIN IDENTIFICAR</t>
  </si>
  <si>
    <t>SERV0072</t>
  </si>
  <si>
    <t>SERV0072E</t>
  </si>
  <si>
    <t>?GASTOS VEHICULOS</t>
  </si>
  <si>
    <t>SERV0025</t>
  </si>
  <si>
    <t>SERV0025E</t>
  </si>
  <si>
    <t>?GASTOS VIAJES DE NEGOCIOS</t>
  </si>
  <si>
    <t>SERV0008</t>
  </si>
  <si>
    <t>SERV0008E</t>
  </si>
  <si>
    <t>?GASTOS VIATICOS/ PEAJES COBRETAC</t>
  </si>
  <si>
    <t>SERV0036</t>
  </si>
  <si>
    <t>SERV0036E</t>
  </si>
  <si>
    <t>?GASTOS VISITA DE TERCERAS PERSONAS</t>
  </si>
  <si>
    <t>SERV0073</t>
  </si>
  <si>
    <t>SERV0073E</t>
  </si>
  <si>
    <t>?HERRAMIENTAS PARA PRODUCCION</t>
  </si>
  <si>
    <t>SERV0130</t>
  </si>
  <si>
    <t>SERV0130E</t>
  </si>
  <si>
    <t>?HONORARIOS PROFESIONALES</t>
  </si>
  <si>
    <t>SERV0039</t>
  </si>
  <si>
    <t>SERV0039E</t>
  </si>
  <si>
    <t>?IMPLEMENTOS/INSUMOS DE SEGURIDAD</t>
  </si>
  <si>
    <t>SERV0079</t>
  </si>
  <si>
    <t>SERV0079E</t>
  </si>
  <si>
    <t>?IMPUESTO A LAS GRANDES TRANSACCIONES FI</t>
  </si>
  <si>
    <t>SERV0150</t>
  </si>
  <si>
    <t>SERV0V150E</t>
  </si>
  <si>
    <t>?INSUMO TMT</t>
  </si>
  <si>
    <t>SERV0201</t>
  </si>
  <si>
    <t>SERV0201E</t>
  </si>
  <si>
    <t>?INSUMOS  NACIONALES PRODUCCION</t>
  </si>
  <si>
    <t>SERV0001</t>
  </si>
  <si>
    <t>SERV0001E</t>
  </si>
  <si>
    <t>?INSUMOS  NACIONALES PRODUCCION ARROZ</t>
  </si>
  <si>
    <t>SERV0208</t>
  </si>
  <si>
    <t>SERV0208E</t>
  </si>
  <si>
    <t>?INSUMOS  NACIONALES PRODUCCION CAFÉ</t>
  </si>
  <si>
    <t>SERV0204</t>
  </si>
  <si>
    <t>SERV0204E</t>
  </si>
  <si>
    <t>?INSUMOS  NACIONALES PRODUCCION/CARAOTAS</t>
  </si>
  <si>
    <t>SERV0082</t>
  </si>
  <si>
    <t>SERV0082E</t>
  </si>
  <si>
    <t>?INSUMOS  NACIONALES PRODUCCION/MAIZ</t>
  </si>
  <si>
    <t>SERV0081</t>
  </si>
  <si>
    <t>SERV0081E</t>
  </si>
  <si>
    <t>?INSUMOS ARTICULOS DE  OFICINA</t>
  </si>
  <si>
    <t>SERV0010</t>
  </si>
  <si>
    <t>SERV0010E</t>
  </si>
  <si>
    <t>?INSUMOS MARKETING</t>
  </si>
  <si>
    <t>SERV0014</t>
  </si>
  <si>
    <t>SERV0014E</t>
  </si>
  <si>
    <t>?INSUMOS PARA EL LABORATORIO</t>
  </si>
  <si>
    <t>SERV0129</t>
  </si>
  <si>
    <t>SERV0129E</t>
  </si>
  <si>
    <t>?INSUMOS PARA EL TALLER</t>
  </si>
  <si>
    <t>SERV0021</t>
  </si>
  <si>
    <t>SERV0021E</t>
  </si>
  <si>
    <t>?INSUMOS PARA SUBPRODUCTO</t>
  </si>
  <si>
    <t>SERV0131</t>
  </si>
  <si>
    <t>SERV0131E</t>
  </si>
  <si>
    <t>?INSUMOS SEMOVIENTES/ANIMALES</t>
  </si>
  <si>
    <t>SERV0083</t>
  </si>
  <si>
    <t>SERV0083E</t>
  </si>
  <si>
    <t>?INTERESES POR CREDITO BANCARIO</t>
  </si>
  <si>
    <t>SERV0151</t>
  </si>
  <si>
    <t>SERV0151E</t>
  </si>
  <si>
    <t>?INVENTARIO DE RESPUESTOS</t>
  </si>
  <si>
    <t>SERV0146</t>
  </si>
  <si>
    <t>SERV0146E</t>
  </si>
  <si>
    <t>?INVESTIGACION Y DESARROLLO</t>
  </si>
  <si>
    <t>SERV0006</t>
  </si>
  <si>
    <t>SERV0006E</t>
  </si>
  <si>
    <t>?MANO OBRA CONSTR INST. GALPON</t>
  </si>
  <si>
    <t>SERV0004</t>
  </si>
  <si>
    <t>SERV0004E</t>
  </si>
  <si>
    <t>?MANTENIMIENTO INSTALACIONES</t>
  </si>
  <si>
    <t>SERV0058</t>
  </si>
  <si>
    <t>?MANTENIMIENTO INSTALACIONES (E)</t>
  </si>
  <si>
    <t>SERV0058E</t>
  </si>
  <si>
    <t>?MATERIA PRIMA CAFÉ</t>
  </si>
  <si>
    <t>SERV0203</t>
  </si>
  <si>
    <t>SERV0203E</t>
  </si>
  <si>
    <t>?NOMINA ASESORES</t>
  </si>
  <si>
    <t>SERV0059</t>
  </si>
  <si>
    <t>?NOMINA ASESORES MARKETING (E)</t>
  </si>
  <si>
    <t>SERV0059E</t>
  </si>
  <si>
    <t xml:space="preserve">?NOMINA PRODUCCION </t>
  </si>
  <si>
    <t>SERV0002</t>
  </si>
  <si>
    <t>SERV0002E</t>
  </si>
  <si>
    <t>?NOMINA SEGURIDAD</t>
  </si>
  <si>
    <t>SERV0061</t>
  </si>
  <si>
    <t>?NOMINA SEGURIDAD (E)</t>
  </si>
  <si>
    <t>SERV0061E</t>
  </si>
  <si>
    <t>?PAGO ISLR/ ADELANTOS</t>
  </si>
  <si>
    <t>SERV0053</t>
  </si>
  <si>
    <t>SERV0053E</t>
  </si>
  <si>
    <t>?PAGO IVA/ ADELANTOS</t>
  </si>
  <si>
    <t>SERV0054</t>
  </si>
  <si>
    <t>SERV0054E</t>
  </si>
  <si>
    <t>?PLANILLAS SIDUNEA</t>
  </si>
  <si>
    <t>SERV0048</t>
  </si>
  <si>
    <t>SERV0048E</t>
  </si>
  <si>
    <t>?PLANTA TMT</t>
  </si>
  <si>
    <t>SERV0200</t>
  </si>
  <si>
    <t>SERV0200E</t>
  </si>
  <si>
    <t>?POLIZA DE SEGURO DE EMPLEADOS</t>
  </si>
  <si>
    <t>SERV0159</t>
  </si>
  <si>
    <t>SERV0159E</t>
  </si>
  <si>
    <t>?POLIZA DE SEGURO VEHICULO/MAQUINARIA</t>
  </si>
  <si>
    <t>SERV0209</t>
  </si>
  <si>
    <t>SERV0209E</t>
  </si>
  <si>
    <t>?PREMIOS MOVILIDAD</t>
  </si>
  <si>
    <t>SERV0019</t>
  </si>
  <si>
    <t>SERV0019E</t>
  </si>
  <si>
    <t>?PRESTAMOS A TERCEROS</t>
  </si>
  <si>
    <t>SERV0077</t>
  </si>
  <si>
    <t>SERV0077E</t>
  </si>
  <si>
    <t>?PROTECCION A LAS PENSIONES</t>
  </si>
  <si>
    <t>SERV0155</t>
  </si>
  <si>
    <t>SERV0155E</t>
  </si>
  <si>
    <t>?REGALOS/OBSEQUIOS/DETALLES</t>
  </si>
  <si>
    <t>SERV0024</t>
  </si>
  <si>
    <t>SERV0024E</t>
  </si>
  <si>
    <t>?REPAR. MAQUINARIA/INSUMOS</t>
  </si>
  <si>
    <t>SERV0064</t>
  </si>
  <si>
    <t>SERV0064E</t>
  </si>
  <si>
    <t>?REPAR. Y MANT CAMIONES/GANDOLA/INSUMOS</t>
  </si>
  <si>
    <t>SERV0027</t>
  </si>
  <si>
    <t>SERV0027E</t>
  </si>
  <si>
    <t>?REPAR. Y MANT VEHI. PERSO. MANO OBRA (E</t>
  </si>
  <si>
    <t>SERV0028E</t>
  </si>
  <si>
    <t>?REPAR. Y MANT. MAQUINARIA. MANO OBRA</t>
  </si>
  <si>
    <t>SERV0063</t>
  </si>
  <si>
    <t>SERV0063E</t>
  </si>
  <si>
    <t>?REPAR. Y MANTEN VEHIC. PERSO. MANO OBRA</t>
  </si>
  <si>
    <t>SERV0028</t>
  </si>
  <si>
    <t>?REPAR. Y MANTEN VEHIC. TRANSP. MANO OBR</t>
  </si>
  <si>
    <t>SERV0022</t>
  </si>
  <si>
    <t>SERV0022E</t>
  </si>
  <si>
    <t>?REPAR. Y MANTEN. CAMIONES/GANDOLA MANO</t>
  </si>
  <si>
    <t>SERV0026</t>
  </si>
  <si>
    <t>SERV0026E</t>
  </si>
  <si>
    <t>?REPAR. Y MANTEN. EQUIPOS TECN.</t>
  </si>
  <si>
    <t>SERV0009</t>
  </si>
  <si>
    <t>?REPAR. Y MANTEN. EQUIPOS TECNOL.(E)</t>
  </si>
  <si>
    <t>SERV0009E</t>
  </si>
  <si>
    <t>?REPAR. Y MANTEN. VEHI. PERS./INSUMOS(E)</t>
  </si>
  <si>
    <t>SERV0029E</t>
  </si>
  <si>
    <t>?REPAR. Y MANTEN. VEHI. TRANSP./INSUMOS</t>
  </si>
  <si>
    <t>SERV0023</t>
  </si>
  <si>
    <t>SERV0023E</t>
  </si>
  <si>
    <t>?REPAR. Y MANTEN. VEHIC. PERSO./INSUMOS</t>
  </si>
  <si>
    <t>SERV0029</t>
  </si>
  <si>
    <t xml:space="preserve">?RETENCIONES ISLR </t>
  </si>
  <si>
    <t>SERV0052</t>
  </si>
  <si>
    <t>SERV0052E</t>
  </si>
  <si>
    <t>?RETENCIONES IVA</t>
  </si>
  <si>
    <t>SERV0051</t>
  </si>
  <si>
    <t>SERV0051E</t>
  </si>
  <si>
    <t>?SANEAMIENTO AMBIENTAL</t>
  </si>
  <si>
    <t>SERV0147</t>
  </si>
  <si>
    <t>SERV0147E</t>
  </si>
  <si>
    <t>?SERVICIO DE INSTALACION DE RADIOTRANSMI</t>
  </si>
  <si>
    <t>SERV0158</t>
  </si>
  <si>
    <t>SERV0158E</t>
  </si>
  <si>
    <t>?SERVICIOS E INSTALACIONES TRACKER</t>
  </si>
  <si>
    <t>SERV00102</t>
  </si>
  <si>
    <t>SERV00102E</t>
  </si>
  <si>
    <t>?SISTEMA TMT</t>
  </si>
  <si>
    <t>SERV0013</t>
  </si>
  <si>
    <t>SERV0013E</t>
  </si>
  <si>
    <t>?SISTEMA/ SAINT</t>
  </si>
  <si>
    <t>SERV0012</t>
  </si>
  <si>
    <t>SERV0012E</t>
  </si>
  <si>
    <t>?SUELDOS Y SALARIOS</t>
  </si>
  <si>
    <t>SERV0011</t>
  </si>
  <si>
    <t>SERV0011E</t>
  </si>
  <si>
    <t>COMPRA FERTILIZANTE</t>
  </si>
  <si>
    <t>SERV0149</t>
  </si>
  <si>
    <t>GASTOS DE GUIA DE TRASLADO</t>
  </si>
  <si>
    <t>SERV0145</t>
  </si>
  <si>
    <t>SERV0145E</t>
  </si>
  <si>
    <t>IMPUESTO IGTF (pago divisas)</t>
  </si>
  <si>
    <t>SERV0127E</t>
  </si>
  <si>
    <t>AFRECHO</t>
  </si>
  <si>
    <t>AJUSTE DE RECONVERSION MONETARIA</t>
  </si>
  <si>
    <t>AJUSTES CONTABILIDAD</t>
  </si>
  <si>
    <t>ALIMENTOS PARA ANIMALES</t>
  </si>
  <si>
    <t>ALQUILER TERRENOS</t>
  </si>
  <si>
    <t>ANTICIPO DE I.S.L.R</t>
  </si>
  <si>
    <t>ANTICIPO PROVEDORES</t>
  </si>
  <si>
    <t>APORTE PATRONAL FAOV</t>
  </si>
  <si>
    <t>APORTE PATRONAL INCES</t>
  </si>
  <si>
    <t>APORTE PATRONAL INCES INTERESES</t>
  </si>
  <si>
    <t>APORTE PATRONAL SPF</t>
  </si>
  <si>
    <t>APORTE PATRONAL SSO</t>
  </si>
  <si>
    <t>APORTE POR CAPITALIZAR</t>
  </si>
  <si>
    <t>ARTICULO DE OFICINA</t>
  </si>
  <si>
    <t>ARTICULOS DE LIMPIEZA</t>
  </si>
  <si>
    <t>AUMENTO DE CAPITAL</t>
  </si>
  <si>
    <t>BANAVIH POR PAGAR</t>
  </si>
  <si>
    <t>BONO ALIMENTACION</t>
  </si>
  <si>
    <t>BONO DE GUERRA ECONOMICA</t>
  </si>
  <si>
    <t>BONO LIBERALIDAD PATRONAL</t>
  </si>
  <si>
    <t>CAJA PUENTE TRANSITORIA</t>
  </si>
  <si>
    <t>CAPACITACION Y DESARROLLO</t>
  </si>
  <si>
    <t>CAPITAL SUSCRITO Y PAGADO</t>
  </si>
  <si>
    <t>CARGOS TRANSITORIOS TRASPASO</t>
  </si>
  <si>
    <t>COMBUSTIBLES</t>
  </si>
  <si>
    <t>COMPRAS EXENTAS</t>
  </si>
  <si>
    <t>COMPRAS GENERALES</t>
  </si>
  <si>
    <t>CUENTAS POR COBRAR CLIENTES</t>
  </si>
  <si>
    <t>CUENTAS POR COBRAR EMPLEADOS</t>
  </si>
  <si>
    <t>CUENTAS POR PAGAR BANESCO</t>
  </si>
  <si>
    <t>CUENTAS POR PAGAR EMPLEADOS</t>
  </si>
  <si>
    <t>DECLARACION ESTIMADA</t>
  </si>
  <si>
    <t>DECLARACION ESTIMADA I.S.L.R</t>
  </si>
  <si>
    <t>DEPRECIACION ACUMULADA MOBILIARIOS Y EQUIPOS</t>
  </si>
  <si>
    <t>DEPRECIACION ACUMULADA VEHICULO</t>
  </si>
  <si>
    <t>DEPRECIACION HERRAMIENTAS Y EQUIPOS</t>
  </si>
  <si>
    <t>DEVOLUCIONES EN VENTAS CON IVA</t>
  </si>
  <si>
    <t>EFECTOS POR COBRAR</t>
  </si>
  <si>
    <t>EQUIPOS CONTRA INCENDIO</t>
  </si>
  <si>
    <t>EXCEDENTE DE CREDITO FISCAL</t>
  </si>
  <si>
    <t>EXCEDENTES</t>
  </si>
  <si>
    <t>FLETES Y ENCOMIENDAS</t>
  </si>
  <si>
    <t>FONDO NACIONAL DEL DEPORTE</t>
  </si>
  <si>
    <t>FUMIGACION</t>
  </si>
  <si>
    <t>GASTOS DE PUBLICIDAD</t>
  </si>
  <si>
    <t>GASTOS DE REPRESENTACION</t>
  </si>
  <si>
    <t>GASTOS DE SEGURIDAD</t>
  </si>
  <si>
    <t>GASTOS DE UNIFORME</t>
  </si>
  <si>
    <t>GASTOS NO DEDUCIBLES</t>
  </si>
  <si>
    <t>GASTOS POLIZA DE SEGURO</t>
  </si>
  <si>
    <t>GASTOS SERVICIOS MEDICOS</t>
  </si>
  <si>
    <t>GASTOS TELECOMUNICACIONES/INTERNET</t>
  </si>
  <si>
    <t>GASTOS TRAMITES IMPUESTO ALCALDIA</t>
  </si>
  <si>
    <t>GASTOS TRAMITES PERMISOS SANIDAD/SAPI</t>
  </si>
  <si>
    <t>HERRAMIENTAS Y EQUIPOS</t>
  </si>
  <si>
    <t>I.G.V. POR PAGAR (CREDITO FISCAL)</t>
  </si>
  <si>
    <t>I.G.V. POR PAGAR (DEBITO FISCAL)</t>
  </si>
  <si>
    <t>I.S.L.R. DEL EJERCICIO POR PAGAR</t>
  </si>
  <si>
    <t>I.V.A. POR PAGAR</t>
  </si>
  <si>
    <t>IMPLEMENTOS AGRICOLAS</t>
  </si>
  <si>
    <t>IMPLEMENTOS BIOSEGURIDAD</t>
  </si>
  <si>
    <t>INCES 1/2 % TRABAJADOR</t>
  </si>
  <si>
    <t>INCES INTERESES</t>
  </si>
  <si>
    <t>INGRESOS POR INTERESES BANCARIOS</t>
  </si>
  <si>
    <t>INGRESOS POR VENTAS AFRECHO</t>
  </si>
  <si>
    <t>INGRESOS POR VENTAS MAIZ</t>
  </si>
  <si>
    <t>INSUMOS PRODUCCION</t>
  </si>
  <si>
    <t>INSUMOS TALLER</t>
  </si>
  <si>
    <t>INTERESES POR PRESTAMOS BANCARIOS</t>
  </si>
  <si>
    <t>INVENTARIO FINAL MATERIA PRIMA</t>
  </si>
  <si>
    <t>INVENTARIO INICIAL MATERIA PRIMA</t>
  </si>
  <si>
    <t>MANO DE OBRA CONTRATADA</t>
  </si>
  <si>
    <t>MANTENIMIENTO CAMIONES MANO DE OBRA</t>
  </si>
  <si>
    <t>MANTENIMIENTO DE INFRAESTRUCTURA</t>
  </si>
  <si>
    <t>MECANIZACION Y TRATAMIENTO DE TIERRA</t>
  </si>
  <si>
    <t>MEJORA A INSTALACIONES</t>
  </si>
  <si>
    <t>MOBILIARIO Y EQUIPOS DE OFICINA</t>
  </si>
  <si>
    <t>PATENTE DE INDUSTRIA Y COMERCIO</t>
  </si>
  <si>
    <t>PERDIDA ACUMULADA POR INFLACION</t>
  </si>
  <si>
    <t>PERDIDA DEL EJERCICIO</t>
  </si>
  <si>
    <t>PERDIDA DEL EJERCICIO POR INFLACION</t>
  </si>
  <si>
    <t>PERDIDAS ACUMULADAS</t>
  </si>
  <si>
    <t>PRESTACIONES Y LIQUIDACIONES</t>
  </si>
  <si>
    <t>PROTECCION A LA PENSIONES</t>
  </si>
  <si>
    <t>PROTECCION A LA PENSIONES POR PAGAR</t>
  </si>
  <si>
    <t>REPARACION Y MANTENIMIENTO DE EQUIPOS</t>
  </si>
  <si>
    <t>REPARACIONES SISTEMA DE COMPUTACION</t>
  </si>
  <si>
    <t>RESERVA LEGAL</t>
  </si>
  <si>
    <t>RETENCION COMPRAS 75%</t>
  </si>
  <si>
    <t>RETENCION INCE</t>
  </si>
  <si>
    <t>RETENCION ISLR POR PAGAR</t>
  </si>
  <si>
    <t>RETENCIONES IVA ACUMULADAS POR DESCONTAR</t>
  </si>
  <si>
    <t>RETENCIONES IVA DEL PERIODO</t>
  </si>
  <si>
    <t>RETENCIONES IVSS POR PAGAR EMPLEADOS</t>
  </si>
  <si>
    <t>RETENCIONES LPH POR PAGAR EMPLEADOS</t>
  </si>
  <si>
    <t>RETENCIONES SPF POR PAGAR EMPLEADOS</t>
  </si>
  <si>
    <t>S.A. TECNICA DE CONSERVACION AMBIENTAL</t>
  </si>
  <si>
    <t>SEGURO SOCIAL POR PAGAR</t>
  </si>
  <si>
    <t>SEMILLAS</t>
  </si>
  <si>
    <t>SERVICIO DE AGUA POTABLE</t>
  </si>
  <si>
    <t>SERVICIO DE ASEO</t>
  </si>
  <si>
    <t>SERVICIO DE ENERGIA ELECTRICA</t>
  </si>
  <si>
    <t>SISTEMA DE RIEGO</t>
  </si>
  <si>
    <t>SOLUCIONES DE LOCALIZACION TRAKER GPS</t>
  </si>
  <si>
    <t>SUELDOS Y SALARIOS POR PAGAR</t>
  </si>
  <si>
    <t>TALLER</t>
  </si>
  <si>
    <t>TITULO DE COBERTURA BANESCO</t>
  </si>
  <si>
    <t>TITULO DE COBERTURA BICENTENARIO</t>
  </si>
  <si>
    <t>TITULO DE COBERTURA TESORO</t>
  </si>
  <si>
    <t>UTILIDAD ACUMULADA POR INFLACION</t>
  </si>
  <si>
    <t>UTILIDAD DEL EJERCICIO</t>
  </si>
  <si>
    <t>UTILIDAD DEL EJERCICIO POR INFLACION</t>
  </si>
  <si>
    <t>UTILIDADES</t>
  </si>
  <si>
    <t>UTILIDADES ACUMULADAS</t>
  </si>
  <si>
    <t>VACACIONES</t>
  </si>
  <si>
    <t>VEHICULO</t>
  </si>
  <si>
    <t>VIATICOS</t>
  </si>
  <si>
    <t>BANCO DEL TESORO</t>
  </si>
  <si>
    <t>BANESCO</t>
  </si>
  <si>
    <t>PROVINCIAL</t>
  </si>
  <si>
    <t>BANCO DE VENEZUELA</t>
  </si>
  <si>
    <t>BANCO NACIONAL DE CREDITO BNC</t>
  </si>
  <si>
    <t>BICENTENARIO AGRO</t>
  </si>
  <si>
    <t>MERCANTIL AGRO</t>
  </si>
  <si>
    <t>CUENTAS POR COBRAR HERAS NEW FASHION</t>
  </si>
  <si>
    <t>CUENTAS POR COBRAR TENDENCIAS AB, C.A.</t>
  </si>
  <si>
    <t>CUENTAS POR COBRAR INDUSTRIA AGROTENDENCIAS</t>
  </si>
  <si>
    <t>CUENTAS POR COBRAR SILOS AGROTENDENCIAS</t>
  </si>
  <si>
    <t>CUENTAS POR COBRAR PROVEEDORES</t>
  </si>
  <si>
    <t>INVENTARIO DE MERCANCIA</t>
  </si>
  <si>
    <t>INVENTARIO MERCANCIA PLAN PIRA</t>
  </si>
  <si>
    <t>.</t>
  </si>
  <si>
    <t>CUENTA POR PAGAR ASOC COOP TENDENCIAS</t>
  </si>
  <si>
    <t>CUENTA POR PAGAR COMERCIALIZADORA E IMPOR AB VZLA</t>
  </si>
  <si>
    <t>CUENTA POR PAGAR TENDENCIAS AB</t>
  </si>
  <si>
    <t>CUENTAS POR PAGAR INDUSTRIAS AGROTENDENCIAS CA</t>
  </si>
  <si>
    <t>CUENTA POR PAGAR RESGUARDO</t>
  </si>
  <si>
    <t>ALIMENTOS AGROTENDENCIAS, C.A.</t>
  </si>
  <si>
    <t>CUENTA POR PAGAR AGUTI</t>
  </si>
  <si>
    <t>CUENTAS POR PAGAR BANCO BNC</t>
  </si>
  <si>
    <t>CUENTA POR PAGAR EMPLEADO</t>
  </si>
  <si>
    <t>RETENCION LPH POR PAGAR PATRONAL</t>
  </si>
  <si>
    <t>RETENCIONES IVSS POR PAGAR PATRONAL</t>
  </si>
  <si>
    <t>RETENCIONES SPF POR PAGAR PATRONAL</t>
  </si>
  <si>
    <t>BONO ALIMENTACION POR PAGAR</t>
  </si>
  <si>
    <t>BONO ALIMENTACION COMPLEMENTARIA</t>
  </si>
  <si>
    <t>VACACIONES POR PAGAR</t>
  </si>
  <si>
    <t>BENEFICIO ANUAL POR PAGAR</t>
  </si>
  <si>
    <t>DIAS ADICIONALES DE ANTIGUEDAD POR PAGAR</t>
  </si>
  <si>
    <t>SUELDOS A DIRECTORES POR PAGAR</t>
  </si>
  <si>
    <t>GASTOS ADUANA</t>
  </si>
  <si>
    <t>SUELDOS Y SALARIOS DIRECTORES</t>
  </si>
  <si>
    <t>BONO COMPLEMENTARIO</t>
  </si>
  <si>
    <t>IGTF</t>
  </si>
  <si>
    <t>GASTOS DE IMPORTACION</t>
  </si>
  <si>
    <t>MANO DE OBRA DE MANTENIMIENTO INFRAESTRUCTURA</t>
  </si>
  <si>
    <t>AJUSTE I.G.V.</t>
  </si>
  <si>
    <t>ALIMENTOS Y BEBIDAS</t>
  </si>
  <si>
    <t>MANTENIMIENTO DE CAMIONES INSUMOS</t>
  </si>
  <si>
    <t>MANTENIMIENTO VEHICULOS PERS. M/O</t>
  </si>
  <si>
    <t>MANTENIMIENTO VEHICULOS INSUMOS</t>
  </si>
  <si>
    <t>MANTENIMIENTO VEHICULO TRANSPORTE M/O</t>
  </si>
  <si>
    <t>MANTENIMIENTO VEHICULO TRANSPORTE INSUMOS</t>
  </si>
  <si>
    <t>GASTOS CONTADOR</t>
  </si>
  <si>
    <t>BONIFICACION POR VENTAS</t>
  </si>
  <si>
    <t>COLABORACIONES</t>
  </si>
  <si>
    <t>GASTO COMBUSTIBLE GASOLINA</t>
  </si>
  <si>
    <t>GASTO COMBUSTIBLE GASOIL</t>
  </si>
  <si>
    <t>SEGURO DE VEHICULO</t>
  </si>
  <si>
    <t>SEGURO INFRAESTRUCTURA</t>
  </si>
  <si>
    <t>SISTEMAS ADMINISTRATIVO</t>
  </si>
  <si>
    <t>CONTRATACION PERSONAL EVENTUAL</t>
  </si>
  <si>
    <t>FONDO NACIONAL CIENCIA Y TECNOLOGIA (FONACIT)</t>
  </si>
  <si>
    <t>GASTOS DE SERVICIOS DE COBRANZA</t>
  </si>
  <si>
    <t>GASTOS CONTAINER</t>
  </si>
  <si>
    <t>PLANILLAS SIDUNEA</t>
  </si>
  <si>
    <t>GASTOS FLETES</t>
  </si>
  <si>
    <t>GASTOS SENIAT</t>
  </si>
  <si>
    <t>GASTOS SENCAMER</t>
  </si>
  <si>
    <t>COMPRAS DIVISAS</t>
  </si>
  <si>
    <t>CUENTAS POR COBRAR A TERCEROS</t>
  </si>
  <si>
    <t>CUENTAS POR COBRAR AGUTI</t>
  </si>
  <si>
    <t>CUENTAS POR COBRAR TENDENCIAS AB</t>
  </si>
  <si>
    <t>CUENTAS POR COBRAR COMERCIAL GLOBAL IMPORT</t>
  </si>
  <si>
    <t>CUENTAS POR COBRAR AGRICOLA &amp; LEGUMINOSA</t>
  </si>
  <si>
    <t>CUENTAS X COBRAR COMERCIALIZADORA E IMPORT AB VZLA</t>
  </si>
  <si>
    <t>CUENTAS X COBRAR CLIENTES</t>
  </si>
  <si>
    <t>GASTOS INTERNET/TELECOMUNICACIONES</t>
  </si>
  <si>
    <t>GASTOS PERMISOS DAEX/RACDA</t>
  </si>
  <si>
    <t>GASTOS VISITAS TERCEROS</t>
  </si>
  <si>
    <t>GASTOS RUEDA DE NEGOCIOS</t>
  </si>
  <si>
    <t>MEJORA A LA PROPIEDAD ARRENDADA</t>
  </si>
  <si>
    <t>GASTOS CONDOMINIO</t>
  </si>
  <si>
    <t>HERRAMIENTAS PRODUCCION</t>
  </si>
  <si>
    <t>ADQUISICION DE MAQUINARIA</t>
  </si>
  <si>
    <t>MANTENIMIENTO DE MAQUINARIAS INSUMOS</t>
  </si>
  <si>
    <t>MANTENIMIENTO MAQUINARIAS MANO DE OBRA</t>
  </si>
  <si>
    <t>FERTILIZANTES</t>
  </si>
  <si>
    <t>GASTOS TRAMITES BOMBEROS</t>
  </si>
  <si>
    <t>GASTOS ARACAL/CIARA</t>
  </si>
  <si>
    <t>GASTOS NOTARIAS</t>
  </si>
  <si>
    <t>ADQUISICION DE INMUEBLE</t>
  </si>
  <si>
    <t>ADQUISICION DE BIENES MUEBLES</t>
  </si>
  <si>
    <t>PREMIO MOVILIDAD</t>
  </si>
  <si>
    <t>SALARIO BASE QUINCENAL</t>
  </si>
  <si>
    <t>BONO COMPLEMENTARIO POR PAGAR</t>
  </si>
  <si>
    <t>DESCUENTO POR FINANCIAMIENTO</t>
  </si>
  <si>
    <t>COM. TRF. CR.INM.OB</t>
  </si>
  <si>
    <t>Comision Servicio SMS</t>
  </si>
  <si>
    <t>VACACIONES/GEXIBA CAROLINA TOVAR CHAVIER</t>
  </si>
  <si>
    <t>CONTRAPRESTACION PAGO PROVEEDORES</t>
  </si>
  <si>
    <t>CORPOLEC/FACT SERIE01C10000000247378107  PERIODO  12/12/2025 al 14/01/2026/(CUSPAL) CONTRATO 100006167939.5 -MEDIDOR 1053047655 LEGUMINOSA</t>
  </si>
  <si>
    <t>CORPOLEC/FACT SERIE01C10000000247378099 PERIODO 12/12/2025 al 14/01/2026/(CUSPAL) CONTRATO 100006168563.8 - MEDIDOR 808625 CORPOELEC LEGUMINOSA</t>
  </si>
  <si>
    <t>COM USD SUBASTA PRIVADA 002</t>
  </si>
  <si>
    <t>COMISION CANJET TRANSF- EFECT</t>
  </si>
  <si>
    <t>COMIS. EMISION EDO. CUENTAS PJ</t>
  </si>
  <si>
    <t>COM.SERV.MTTO CTA</t>
  </si>
  <si>
    <t>EMISION DE ESTADO DE CUENTA</t>
  </si>
  <si>
    <t>SERVICIO MENSAJERIA DIC25</t>
  </si>
  <si>
    <t>MANT AFIL CANAL VIRT DIC25</t>
  </si>
  <si>
    <t>CARGO EMISION EDO DE CUENTA</t>
  </si>
  <si>
    <t>CARGO POR SERVICIO</t>
  </si>
  <si>
    <t>BDT</t>
  </si>
  <si>
    <t>OP.CRED.DIRT.CLTE-CLTE PJ JURIDICA ELECTRON</t>
  </si>
  <si>
    <t>OP.CRED.DIRT. CLTE-CLTE PJ ELECTRON</t>
  </si>
  <si>
    <t>COMISION POR TRANSFERENCIA DE FONDOS</t>
  </si>
  <si>
    <t>EMISION EDO. DEC TA.MONEDA NAC. EXT.</t>
  </si>
  <si>
    <t>TARIFA MANTENIMIENTO DE CUENTA</t>
  </si>
  <si>
    <t>COMIS. CR.I OB REC</t>
  </si>
  <si>
    <t xml:space="preserve">COMIS. CR.I OB          </t>
  </si>
  <si>
    <t>COMIS. CR.I OB</t>
  </si>
  <si>
    <t>COMIS. TRF OB</t>
  </si>
  <si>
    <t>COM.EM.EDO.CTA</t>
  </si>
  <si>
    <t>COM.MTTO.CTA.</t>
  </si>
  <si>
    <t>4561 - 2759</t>
  </si>
  <si>
    <t>8500-1715</t>
  </si>
  <si>
    <t>1013-2905</t>
  </si>
  <si>
    <t>RECARGA DE 20 LITROS DE COMBUSTIBLE DE TOYOTA HEMBRITA</t>
  </si>
  <si>
    <t>RECARGA DE 120 LITROS DE COMBUSTIBLE PERSONAL DEL SESAY</t>
  </si>
  <si>
    <t>RECARGA DE 40 LITROS DE COMBUSTIBLE PERSONAL DEL SESAY</t>
  </si>
  <si>
    <t>RECARGA DE 20 LITROS DE COMBUSTIBLE JOSE PINEDA</t>
  </si>
  <si>
    <t>MES DE ENERO AGRO TENDENCIA, C.A.</t>
  </si>
  <si>
    <t>RECARGA DE 10 LITROS DE GASOLINA MOTO ASIGNADA A DOMINGO DOMINGUEZ</t>
  </si>
  <si>
    <t>RECARGA DE 58 LITROS DE GASOLINA CAMIONETA LK 153</t>
  </si>
  <si>
    <t>RECARGA DE 70 LITROS DE GASOLINA CAMION BLANCO (OSCAR)</t>
  </si>
  <si>
    <t>RECARGA 10 LITROS DE GASOLINA  MOTO ASIGNADA A JAVIER CHIRINO</t>
  </si>
  <si>
    <t>RECARGA DE 9 LITROS DE GASOLINA MOTO ASIGNADA A EUCARYS RODRIGUEZ</t>
  </si>
  <si>
    <t>RECARGA DE 140 LITROS DE GASOLINA PARA EL TRITON ROJO</t>
  </si>
  <si>
    <t>RECARGA DE 40 LITROS DE COMBUSTIBLE PARA TOYOTA HEMBRITA</t>
  </si>
  <si>
    <t>RECARGA DE 10 LITROS DE GASOLINA TECNICO CARLOS PUERTA</t>
  </si>
  <si>
    <t>RECARGA DE 20 LITROS DE GASOLINA PARA  MOTO ASIGNADA A LOS TECNICOS  HENRY Y CESAR PETIT</t>
  </si>
  <si>
    <t>RECARGA DE 10 LITROS DE GASOLINA TECNICO LUINEIBER ALVARADO</t>
  </si>
  <si>
    <t>RECARGA DE 100 LITROS DE GASOLINA TRITON ROJO</t>
  </si>
  <si>
    <t>RECARGA DE 20 LITROS DE GASOLINA GUARDIA NACIONAL</t>
  </si>
  <si>
    <t xml:space="preserve">RECARGA DE 36 LITROS.CAMIONETA GEXIBA TOVARAJ6W18K </t>
  </si>
  <si>
    <t>RECARGA DE  50 LITROS DE GASOLINA CAMIONETA LK 153</t>
  </si>
  <si>
    <t>PAGO DE ESTACIONAMIENT CAMIONETA LK 153</t>
  </si>
  <si>
    <t>RECARGA DE GASOLINA A TOYOTA HEMBRITA CAFE</t>
  </si>
  <si>
    <t>RECARGA DE 40 LITROS DE GASOLINA A TOYOTA HEMBRITA CAFE</t>
  </si>
  <si>
    <t>RECARGA DE 70 LITROS DE GASOLINA CAMION BLANCO</t>
  </si>
  <si>
    <t>RECARGA DE LITROS DE GASOLINA TECNICO CESAR PETIT</t>
  </si>
  <si>
    <t>RECARGA DE 146 LITROS DE COMBUSTIBLE PERSONAL DEL SESAY</t>
  </si>
  <si>
    <t>RECARGA DE 100 LITROS  DE COMBUSTIBLE TRITON ROJO (NELSON)</t>
  </si>
  <si>
    <t>RECARGA DE 10 LITROS DE GASOLINA MOTO TALLER JOSE PINEDA</t>
  </si>
  <si>
    <t>RECARGA DE LITROS DE GASOLINA TECNICOS HENRY Y JAVIER</t>
  </si>
  <si>
    <t>RECARGA DE 8 LITROS DE GASOLINA TECNICO DENNY MOGOLLON</t>
  </si>
  <si>
    <t>RECARGA DE 30 LITROS DE GASOLINA A TOYOTA HEMBRITA CAFE</t>
  </si>
  <si>
    <t>RECARGA DE 23 LITROS DE GASOLINA CAMIONETA LK 153</t>
  </si>
  <si>
    <t>RECARGA DE 10 LITROS DE GASOLINA MOTO JOSE PINEDA</t>
  </si>
  <si>
    <t>RECARGA PLATAFORMA INSAY PARA GUIAS DE MOVILIZACION</t>
  </si>
  <si>
    <t>RECARGA DE 12 LITROS DE GASOLINA MOTO GERALDIME GUZMAN PLACA AR3V74M</t>
  </si>
  <si>
    <t>COMPRA DE DOS ALMUERZOS PARA PERSONAL DE SUNAGRO</t>
  </si>
  <si>
    <t xml:space="preserve">RECARGA DE 10 LITROS DE GASOLINA MOTO ASIGNADA A VIGILANCIA JOSE PINEDA PLACA </t>
  </si>
  <si>
    <t>RECARGA DE 112 LITROS DE GASOLINA TRITON ROJO</t>
  </si>
  <si>
    <t>RECARGA DE 28 LITROS DE GASOLINA TRITON ROJO</t>
  </si>
  <si>
    <t xml:space="preserve">RECARGA DE 39 LITROS DE GASOLINA PARA POLICIAS CUIDAR LA SIEMBRA DE CARAOTAS EN LA MAÑANA </t>
  </si>
  <si>
    <t xml:space="preserve">RECARGA DE 31 LITROS PARA VEHICULOS DE SESAY </t>
  </si>
  <si>
    <t>RECARGA DE 7,5LITROS PARA  MOTO DENNY MOGOLLON PLACA  AJ2S29T</t>
  </si>
  <si>
    <t>PAGO DE DECORACION DE CUMPLEAÑOS ING. DEISY DE ALEMAN</t>
  </si>
  <si>
    <t>RECARGA DE 42 LITROS DE GASOLINA CAMION BLANCO</t>
  </si>
  <si>
    <t>RECARGA DE 20 LITROS DE GASOLINA CAMION BLANCO</t>
  </si>
  <si>
    <t>RECARGA DE 55 LITROS DE GASOLINA CAMIONETA  ING DEISY LK 153</t>
  </si>
  <si>
    <t>PAGO DE LAVADO DE CAMIONETA LK 153 FECHAS 9/1/2026 Y 16/1/2026</t>
  </si>
  <si>
    <t>RECARGA DE 20 LITROS DE GASOLINA TOYOTA HEMBRITA</t>
  </si>
  <si>
    <t>RECARGA DE 45 LITROS DE GASOLINA.CAMIONETA GEXIBA TOVAR AJ6W18K</t>
  </si>
  <si>
    <t>RECARGA DE LITROS DE GASOLINA TECNICOS HENRY Y JAVIER PLACA: AJ8W47E</t>
  </si>
  <si>
    <t>RECARGA DE 40 LITROS DE GASOLINA URACHICHE</t>
  </si>
  <si>
    <t>COMPRA DE TORTA POR CUMPLEAÑOS DE LA ING DEISY</t>
  </si>
  <si>
    <t xml:space="preserve">RECARGA DE COMBUSTIBLE CAFE </t>
  </si>
  <si>
    <t>RECARGA DE PLATAFORMA INSAY PARA GUIAS DE MOVILIZACION</t>
  </si>
  <si>
    <t>RECARGA DE GASOLINA GUARDIA AMBIENTAL Y TECNICO HENRY ALVARADO</t>
  </si>
  <si>
    <t>RECARGA DE 70 LITROS DE GASOLINA PARA EL CAMION BLANCO</t>
  </si>
  <si>
    <t>RECARGA DE 12 LITROS DE GASOLINA MOTO ASIGNADA A JAVIER CHIRINO</t>
  </si>
  <si>
    <t>RECARGA DE 115 LITROS DE GASOLINA TRITON ROJO</t>
  </si>
  <si>
    <t xml:space="preserve">RECARGA DE 49 LITROS.CAMIONETA GEXIBA TOVARAJ6W18K </t>
  </si>
  <si>
    <t>RECARGA DE 10 LITROS DE GASOLINA ELVIS CHAVEZ Y 10 LITROS DE GASOLINA KELVIS</t>
  </si>
  <si>
    <t>RECARGA DE 10 LITROS DE GASOLINA NELLY MONTILLA</t>
  </si>
  <si>
    <t>RECARGA DE 10 LITROS DE GASOLINA MOTO ASIGNADA A LUINEYBER ALVARADO</t>
  </si>
  <si>
    <t>RECARGA DE 20 LITROS DE GASOLINA GUARDIA NACIONAL DE SABANA DE PARRA</t>
  </si>
  <si>
    <t xml:space="preserve">RECARGA DE 112 LITROS DE GASOLINA PARA LOS TECNICOS: HENRY, CESAR, JAVIER, CARLOS, SUPERVISORA NELLY MONTILLA, YURDTGREIS, NELSYS Y TOYOTA HEMBRITA S-004 </t>
  </si>
  <si>
    <t>RECARGA DE 13 LITROS DE GASOLINA MOTO ASIGNADA A EUCARYS RODRIGUEZ</t>
  </si>
  <si>
    <t>COMPRA DE 2 PAQUETES DE BOLSAS PARA DETERMINAR EL PESO DE 100 GRANOS DE CARAOTAS, ENSAYO CONACEM</t>
  </si>
  <si>
    <t xml:space="preserve">RECARGA DE 140 LITROS DE GASOLINA PARA EL TRITON ROJO (EMISAEL) </t>
  </si>
  <si>
    <t xml:space="preserve">RECARGA DE 20 LITROS DE GASOLINA TOYOTA HEMBRITA Y COMPRA DE 2 INYECTADORAS </t>
  </si>
  <si>
    <t>RECARGA DE 44 LITROS DE GASOLINA CAMIONETA SR GEXIBA</t>
  </si>
  <si>
    <t xml:space="preserve">RECARGA DE 50 LITROS DE GASOLINA PARA EL TRITON ROJO (JESUS) </t>
  </si>
  <si>
    <t>RECARGA DE 51 LITROS DE GASOLINA CAMIONETA SR GEXIBA</t>
  </si>
  <si>
    <t>RECARGA DE 30 LITROS DE GASOLINA TOYOTA HEMBRITA</t>
  </si>
  <si>
    <t>RECARGA DE 50 LITROS DE GASOLINA CAMIONETA LK 153</t>
  </si>
  <si>
    <t>RECARGA DE 70 LITROS DE GASOLINA AL CAMION BLANCO (OSCAR OROPEZA)</t>
  </si>
  <si>
    <t>RECARGA DE 120 LITROS DE GASOLINA TRITON TOJO (JESUS SUEREZ)</t>
  </si>
  <si>
    <t xml:space="preserve">PAGO DE ENVIO DE FACTURA AGROCELTA </t>
  </si>
  <si>
    <t>COMPRA DE ESTANTILLOS PARA CERCA</t>
  </si>
  <si>
    <t>COM MANTENIMIENTO DE CUENTA</t>
  </si>
  <si>
    <t>COMISION PAGO A PROVEEDORES</t>
  </si>
  <si>
    <t>COM PAGO OTRAS CTAS JUR GUB</t>
  </si>
  <si>
    <t>VENEZUELA</t>
  </si>
  <si>
    <t>COMISION PAGO A PROVEE OTROS B</t>
  </si>
  <si>
    <t>BONO ESPECIAL/LEGUMINOSA/ 13/01/2026</t>
  </si>
  <si>
    <t>SALARIO BASE/LEGUMINOSA/ 13/01/2026</t>
  </si>
  <si>
    <t>COMISION PAGO A PROVEE MISMO B</t>
  </si>
  <si>
    <t>COMIS.PAGO INMEDIATO</t>
  </si>
  <si>
    <t>COMIS FIANZA GRTIA COMERCIALES</t>
  </si>
  <si>
    <t>COMIS.RECHAZO PAGO INMEDIATO</t>
  </si>
  <si>
    <t>COMISION USO CANAL IB</t>
  </si>
  <si>
    <t>COMIS FIANZA GRTIA AGROALIMENT</t>
  </si>
  <si>
    <t>BONO ESPECIAL/LEGUMINOSA/30/01/2026</t>
  </si>
  <si>
    <t>CESTA TICKET/LEGUMINOSA/30/01/2026</t>
  </si>
  <si>
    <t>SALARIO BASE/LEGUMINOSA/ 30/01/2026</t>
  </si>
  <si>
    <t>BELOW MINIMUM BALANCE CHARGES</t>
  </si>
  <si>
    <t>STAMENT SERVICE</t>
  </si>
  <si>
    <t>TESORO</t>
  </si>
  <si>
    <t xml:space="preserve">JOSE HEREDIA/LIQUIDACION </t>
  </si>
  <si>
    <t>HONORARIOS PROFESIONALES/DEMANDA PEDRO ROJAS</t>
  </si>
  <si>
    <t>ORDEN PAGO 1 DISCO MARCA ABD</t>
  </si>
  <si>
    <t>ORDEN PAGO 2 PAGGO DDE RASTRA</t>
  </si>
  <si>
    <t>EFECTIVO</t>
  </si>
  <si>
    <t>Pira café</t>
  </si>
  <si>
    <t>Pira Caraota</t>
  </si>
  <si>
    <t>Pira Arroz</t>
  </si>
  <si>
    <t>no usar</t>
  </si>
  <si>
    <t>Leguminosa</t>
  </si>
  <si>
    <t>Exportacion</t>
  </si>
  <si>
    <t>Pira Maíz</t>
  </si>
  <si>
    <t>Productor Agro tendencias</t>
  </si>
  <si>
    <t>BONO ESPECIAL/AGROTENDENCIA-PRODUCTOR/ 13/01/2026</t>
  </si>
  <si>
    <t>BONO ESPECIAL/PIRA CAFE/ 13/01/2026</t>
  </si>
  <si>
    <t>BONO ESPECIAL/PARA MAIZ/ 13/01/2026</t>
  </si>
  <si>
    <t>SALARIO BASE/AGROTENDENCIA- PRODUCTOR/13/01/2026</t>
  </si>
  <si>
    <t>BONO ESPECIAL/AGROTENDENCIA-PRODUCTOR/30/01/2026</t>
  </si>
  <si>
    <t>BONO ESPECIAL/PIRA CAFE/30/01/2026</t>
  </si>
  <si>
    <t>BONO ESPECIAL/PIRA MAIZ/30/01/2026</t>
  </si>
  <si>
    <t>CESTA TICKET/AGROTENDENCIA- PRODUCTOR/30/01/2026</t>
  </si>
  <si>
    <t>CESTA TICKET/PIRA CAFE/30/01/2026</t>
  </si>
  <si>
    <t>CESTA TICKET/PIRA MAIZ/30/01/2026</t>
  </si>
  <si>
    <t>SALARIO BASE/PIRA CAFE/ 30/01/2026</t>
  </si>
  <si>
    <t>SALARIO BASE/PIRA MAIZ/ 30/01/2026</t>
  </si>
  <si>
    <t>SALARIO BASE/BONO ESPECIAL/CESTA TICKET/PIRA MAIZ/30/01/2026</t>
  </si>
  <si>
    <t>LUIS VARGAS/ Meteorólogo especialista, prestó sus servicios a AGRO TENDENCIAS C.A/recibo semanal por 4 unidades</t>
  </si>
  <si>
    <t>TELF.:000000000000 CED.:V010948636 CTA.:01340534415341074357 PAGO</t>
  </si>
  <si>
    <t>DAFNE PEÑA/PAGO asistencia legal y solicitud de calificacion jose heredia</t>
  </si>
  <si>
    <t>TELF.:000000000000 CED.:V007424092 CTA.:01050140771140057111 PAGO</t>
  </si>
  <si>
    <t>FREDDY VASQUEZ/SEDE LEGUMINOSAS S/FLETE/OP 3811-2026</t>
  </si>
  <si>
    <t>TELF.:000000000000 CED.:V019105555 CTA.:01020312180100044320 PAGO</t>
  </si>
  <si>
    <t>TELF.:000000000000 CED.:V016819294 CTA.:01020862940000023139 PAGO</t>
  </si>
  <si>
    <t>COMERCIAL ANOFRI C.A/ BULTOS DE SARDINA INCOSA EN ACEITE 
05 CAJA  DE ACEITE PORTUMESA DE ORO/COMBOS DE LOS PRODUCTORES CAFETALEROS</t>
  </si>
  <si>
    <t>TELF.:000000000000 CED.:V014159724 CTA.:01340475544753025264 PAGO</t>
  </si>
  <si>
    <t>BONO COMPLEMENTARIO/YAMILETH SERRRANO/LEGUMINOSA/13/01/2026</t>
  </si>
  <si>
    <t>TELF.:000000000000 CED.:V010187016 CTA.:01082447810100237447 PAGO</t>
  </si>
  <si>
    <t>TELF.:000000000000 CED.:V010802389 CTA.:01020303140000838748 PAGO</t>
  </si>
  <si>
    <t>BONO COMPLEMENTARIO/RAFAEL FONSECA/ LEGUMINOSA/13/01/2026</t>
  </si>
  <si>
    <t>TELF.:000000000000 CED.:V012080993 CTA.:01020303110000749028 PAGO</t>
  </si>
  <si>
    <t>BONO COMPLEMENTARIO/HENRY ALVARADO/ PIRA CAFE/13/01/2026</t>
  </si>
  <si>
    <t>TELF.:000000000000 CED.:V012277223 CTA.:01020365190100091078 PAGO</t>
  </si>
  <si>
    <t>BONO COMPLEMENTARIO/CESAR PETIT/PARA MAIZ/13/01/2026</t>
  </si>
  <si>
    <t>TELF.:000000000000 CED.:V012725311 CTA.:01630205802055000609 PAGO</t>
  </si>
  <si>
    <t>BONO COMPLEMENTARIO/FRANCO RIVERO/ LEGUMINOSA/13/01/2026</t>
  </si>
  <si>
    <t>TELF.:000000000000 CED.:V014405986 CTA.:01750189580071176934 PAGO</t>
  </si>
  <si>
    <t>BONO COMPLEMENTARIO/MANUEL GOMEZ/PIRA CAFÉ/13/01/2026</t>
  </si>
  <si>
    <t>TELF.:000000000000 CED.:V014607988 CTA.:01020311290103121503 PAGO</t>
  </si>
  <si>
    <t>BONO COMPLEMENTARIO/LUIS TOVAR/AGROTENDENCIAS-PRODUCTOR/13/01/2026</t>
  </si>
  <si>
    <t>TELF.:000000000000 CED.:V015108773 CTA.:01020135700000188883 PAGO</t>
  </si>
  <si>
    <t>BONO COMPLEMENTARIO/RAYMUNDO MESA/ PIRA CAFÉ/13/01/2026</t>
  </si>
  <si>
    <t>TELF.:000000000000 CED.:V015284864 CTA.:01020311240000038768 PAGO</t>
  </si>
  <si>
    <t>BONO COMPLEMENTARIO/EDUARDO MARTINEZ/ AGROTENDENCIA- PRODUCTOR/13/01/2026</t>
  </si>
  <si>
    <t>TELF.:000000000000 CED.:V015388426 CTA.:01020303100001178818 PAGO</t>
  </si>
  <si>
    <t>BONO COMPLEMENTARIO/JHOTSELIS MARTINEZ/ AGROTENDENCIA- PRODUCTOR/13/01/2026</t>
  </si>
  <si>
    <t>TELF.:000000000000 CED.:V015482228 CTA.:01020743610000139104 PAGO</t>
  </si>
  <si>
    <t>BONO COMPLEMENTARIO/DOMINGO DOMINGUEZ/ AGROTENDENCIA- PRODUCTOR/13/01/2026</t>
  </si>
  <si>
    <t>TELF.:000000000000 CED.:V016112498 CTA.:01020743680100000932 PAGO</t>
  </si>
  <si>
    <t>BONO COMPLEMENTARIO/MARIA MENDOZA/PIRA CAFÉ/13/01/2026</t>
  </si>
  <si>
    <t>TELF.:000000000000 CED.:V016138445 CTA.:01341000310001010949 PAGO</t>
  </si>
  <si>
    <t>BONO COMPLEMENTARIO/JUAN CARLOS MUJICA/AGROTENDENCIAS-PRODUCTOR/13/01/2026</t>
  </si>
  <si>
    <t>TELF.:000000000000 CED.:V016261437 CTA.:01020303160000596459 PAGO</t>
  </si>
  <si>
    <t>BONO COMPLEMENTARIO/OSCAR OROPEZA/ AGROTENDENCIAS- PRODUCTOR/13/01/2026</t>
  </si>
  <si>
    <t>TELF.:000000000000 CED.:V016593847 CTA.:01020303170000077127 PAGO</t>
  </si>
  <si>
    <t>BONO COMPLEMENTARIO/DEISY VELASQUEZ/AGROTENDENCIA- PRODUCTOR/13/01/2026</t>
  </si>
  <si>
    <t>TELF.:000000000000 CED.:V016819294 CTA.:01340866120001319633 PAGO</t>
  </si>
  <si>
    <t>BONO COMPLEMENTARIO/ARQUIMIDES GONZALEZ/AGROTENDENCIA- PRODUCTOR/13/01/2026</t>
  </si>
  <si>
    <t>TELF.:000000000000 CED.:V016974140 CTA.:01340866110001319617 PAGO</t>
  </si>
  <si>
    <t>BONO COMPLEMENTARIO/CARLOS PUERTA/PIRA MAIZ/13/01/2026</t>
  </si>
  <si>
    <t>TELF.:000000000000 CED.:V017319188 CTA.:01630246522463003410 PAGO</t>
  </si>
  <si>
    <t>BONO COMPLEMENTARIO/ENZO DIMARCELLO/ AGROTENDENCIA- PRODUCTOR/13/01/2026</t>
  </si>
  <si>
    <t>TELF.:000000000000 CED.:V017507965 CTA.:01082457540200149620 PAGO</t>
  </si>
  <si>
    <t>BONO COMPLEMENTARIO/GERALDINE GUZMAN/AGROTENDENCIAS- PRODUCTOR/13/01/2026</t>
  </si>
  <si>
    <t>TELF.:000000000000 CED.:V017783379 CTA.:01380017110170043320 PAGO</t>
  </si>
  <si>
    <t>TELF.:000000000000 CED.:V017813682 CTA.:01020303140000053565 PAGO</t>
  </si>
  <si>
    <t>BONO COMPLEMENTARIO/LUINEYBER ALVARADO/PIRA MAIZ/13/01/2026</t>
  </si>
  <si>
    <t>TELF.:000000000000 CED.:V017992915 CTA.:01020743630000054522 PAGO</t>
  </si>
  <si>
    <t>BONO COMPLEMENTARIO/ANDERSON PIÑANGO/PIRA MAIZ/13/01/2026</t>
  </si>
  <si>
    <t>TELF.:000000000000 CED.:V018683498 CTA.:01020133150100040489 PAGO</t>
  </si>
  <si>
    <t>BONO COMPLEMENTARIO/XAVIER ALASTRE/AGROTENDENCIA- PRODUCTOR/13/01/2026</t>
  </si>
  <si>
    <t>TELF.:000000000000 CED.:V018683647 CTA.:01020303140000171308 PAGO</t>
  </si>
  <si>
    <t>BONO COMPLEMENTARIO/ANGEL CASTELLANO/ PIRA CAFÉ/13/01/2026</t>
  </si>
  <si>
    <t>TELF.:000000000000 CED.:V018877076 CTA.:01020365170000688008 PAGO</t>
  </si>
  <si>
    <t>BONO COMPLEMENTARIO/GEXIBA TOVAR/PIRA MAIZ/13/01/2026</t>
  </si>
  <si>
    <t>TELF.:000000000000 CED.:V019165826 CTA.:01340866190001319635 PAGO</t>
  </si>
  <si>
    <t>BONO COMPLEMENTARIO/ANGEL GUANIPA/AGROTENDENCIAS- PRODUCTOR/13/01/2026</t>
  </si>
  <si>
    <t>TELF.:000000000000 CED.:V019454377 CTA.:01020743620000485984 PAGO</t>
  </si>
  <si>
    <t>BONO COMPLEMENTARIO/ROSANA RIVERO/PIRA MAIZ/13/01/2026</t>
  </si>
  <si>
    <t>TELF.:000000000000 CED.:V019835701 CTA.:01020787800000091213 PAGO</t>
  </si>
  <si>
    <t>BONO COMPLEMENTARIO/MIGUELANGEL YEPEZ/AGROTENDENCIAS- PRODUCTOR/ 13/01/2026</t>
  </si>
  <si>
    <t>TELF.:000000000000 CED.:V019974149 CTA.:01020303120000601632 PAGO</t>
  </si>
  <si>
    <t>BONO COMPLEMENTARIO/NELSON ALVARADO/ AGROTENDENCIA- PRODUCTOR/13/01/2026</t>
  </si>
  <si>
    <t>TELF.:000000000000 CED.:V020319956 CTA.:01020864590000027753 PAGO</t>
  </si>
  <si>
    <t>BONO COMPLEMENTARIO/ANYELBIS GALINDEZ/AGROTENDENCIA- PRODUCTOR/13/01/2026</t>
  </si>
  <si>
    <t>TELF.:000000000000 CED.:V020320699 CTA.:01020303110000826352 PAGO</t>
  </si>
  <si>
    <t>BONO COMPLEMENTARIO/LUIS SANCHEZ/LEGUMINOSA/13/01/2026</t>
  </si>
  <si>
    <t>TELF.:000000000000 CED.:V020541546 CTA.:01020303110000298207 PAGO</t>
  </si>
  <si>
    <t>BONO COMPLEMENTARIO/FREDIXON PALENCIA/LEGUMINOSA/13/01/2026</t>
  </si>
  <si>
    <t>TELF.:000000000000 CED.:V020541870 CTA.:01020422410000531650 PAGO</t>
  </si>
  <si>
    <t>BONO COMPLEMENTARIO/ANDERSON MORENO/ AGROTENDENCIA- PRODUCTOR/13/01/2026</t>
  </si>
  <si>
    <t>TELF.:000000000000 CED.:V021049204 CTA.:01082447840100125401 PAGO</t>
  </si>
  <si>
    <t>BONO COMPLEMENTARIO/GABRIEL NOGUERA/LEGUMINOSA/13/01/2026</t>
  </si>
  <si>
    <t>TELF.:000000000000 CED.:V021521098 CTA.:01020303190000092869 PAGO</t>
  </si>
  <si>
    <t>BONO COMPLEMENTARIO/HENRY  ALVAREZ/PIRA MAIZ/13/01/2026</t>
  </si>
  <si>
    <t>TELF.:000000000000 CED.:V023575947 CTA.:01020303110000674520 PAGO</t>
  </si>
  <si>
    <t>BONO COMPLEMENTARIO/DENNI MOGOLLON/PIRA CAFÉ/13/01/2026</t>
  </si>
  <si>
    <t>TELF.:000000000000 CED.:V023575963 CTA.:01020211600000807928 PAGO</t>
  </si>
  <si>
    <t>BONO COMPLEMENTARIO/JAVIER CHIRINOS/PIRA MAIZ/13/01/2026</t>
  </si>
  <si>
    <t>TELF.:000000000000 CED.:V024944835 CTA.:01020406260000293697 PAGO</t>
  </si>
  <si>
    <t>BONO COMPLEMENTARIO/STEFANY GALINDEZ/AGROTENDENCIA- PRODUCTOR/30/01/2026</t>
  </si>
  <si>
    <t>TELF.:000000000000 CED.:V027205377 CTA.:01020303110000510613 PAGO</t>
  </si>
  <si>
    <t>BONO COMPLEMENTARIO/NELLY MONTILLA/ PIRA MAIZ/13/01/2026</t>
  </si>
  <si>
    <t>TELF.:000000000000 CED.:V005638215 CTA.:01080078120200189340 PAGO</t>
  </si>
  <si>
    <t>BONO COMPLEMENTARIO/WUILMER PEREZ/AGROTENDENCIA- PRODUCTOR/13/01/2026</t>
  </si>
  <si>
    <t>TELF.:000000000000 CED.:V006602260 CTA.:01020315520105158334 PAGO</t>
  </si>
  <si>
    <t>BONO COMPLEMENTARIO/YOBANNNY MELENEZ/LEGUMIOSA/13/01/2026</t>
  </si>
  <si>
    <t>TELF.:000000000000 CED.:V009632799 CTA.:01020303130000567022 PAGO</t>
  </si>
  <si>
    <t>KENIA PIÑA/BONIFICACION ESPECIAL/1ERA QUINCENA</t>
  </si>
  <si>
    <t>TELF.:000000000000 CED.:V020178649 CTA.:01082412500100140361 PAGO</t>
  </si>
  <si>
    <t>JEFERSON ALEJOS/BONIFICACION ESPECIAL/1ERA QUINCENA</t>
  </si>
  <si>
    <t>TELF.:000000000000 CED.:V023573084 CTA.:01020303180000859497 PAGO</t>
  </si>
  <si>
    <t>BONO COMPLEMENTARIO/YONATHAN DORANTES/ LEGUMINOSA/13/01/2026</t>
  </si>
  <si>
    <t>BONO COMPLEMENTARIO/CARLOS TORRES/PIRA MAIZ/13/01/2026</t>
  </si>
  <si>
    <t>DIANA HERNANDEZ/BONIFICACION ESPECIAL/1ERA QUINCENA</t>
  </si>
  <si>
    <t>FREDDY VASQUEZ/FLETE BQTO-CCS DOCUMENTOS EXPORTACION DEL CAFÉ (FACTURA Y LISTA DE EMPAQUE) OP 3825-2026</t>
  </si>
  <si>
    <t>DAFNE PEÑA/pago acta cancelacion gastos tramites y registros de acta nombramiento liquidador agricola y leguminosa</t>
  </si>
  <si>
    <t xml:space="preserve">DAFNE PEÑA/pago acta cancelacion gastos tramites y registros de acta aprobacion estados financieros liquidador agricola y leguminosa </t>
  </si>
  <si>
    <t>TELF.:000000000000 CED.:V019165826 CTA.:01340866190001319635 VACACIONES EMPLEADO</t>
  </si>
  <si>
    <t>TELF.:000000000000 CED.:J503213108 CTA.:01630325903253017030 PAGO</t>
  </si>
  <si>
    <t>Deisy Velasquez/partida viaticos viaje calabozo plan pira arroz-1000$/</t>
  </si>
  <si>
    <t>TELF.:000000000000 CED.:V014336891 CTA.:01340879318791011503 PAGO</t>
  </si>
  <si>
    <t>TELF.:000000000000 CED.:V014336981 CTA.:01340879318791011503 PAGO</t>
  </si>
  <si>
    <t>TOP AGRICOLA CA/ Adelanto pago franco- pira arroz- nomina/solicitado por la sra deisy- Michell</t>
  </si>
  <si>
    <t>TELF.:000000000000 CED.:J507640183 CTA.:01740133591334325006 PAGO</t>
  </si>
  <si>
    <t>Diego Gimenez/"Runner 2008 plateada 
Placa ABO00JJ  100$ "/pago inmediato solicitado por wilians aleman-- Reparación y pintura y lavado completo 100$</t>
  </si>
  <si>
    <t>TELF.:000000000000 CED.:V017378416 CTA.:01341000380001007091 PAGO</t>
  </si>
  <si>
    <t xml:space="preserve">MANUEL SUAREZ/PAGO PRESUPUESTO RELACION ENSAQUE UREA/PLAN PIRA  ARROZ </t>
  </si>
  <si>
    <t>TELF.:000000000000 CED.:V015084973 CTA.:01080169900100127652 PAGO</t>
  </si>
  <si>
    <t>COMISION X CRED. INMDTO. RECIBIDO DE: V-016819294 DE BCO.: BANCO DE VENEZUELA POR : restante viaticos calabozo</t>
  </si>
  <si>
    <t>TELF.:000000000000 CED.:V016819294 CTA.:01020862940000023139 REPOSICION CAJA CHICA</t>
  </si>
  <si>
    <t>TELF.:000000000000 CED.:V006969881 CTA.:01340866160001319533 PAGO</t>
  </si>
  <si>
    <t xml:space="preserve">DAFNE PEÑA/pago tramite y autenticacion  de documento poder especial de aduana </t>
  </si>
  <si>
    <t>BONO ADICIONAL/LEGUMINOSA/30/01/2026</t>
  </si>
  <si>
    <t>BONO ADICIONAL/AGROTENDENCIA-PRODUCTOR/30/01/2026</t>
  </si>
  <si>
    <t>BONO ADICIONAL/PIRA CAFE/30/01/2026</t>
  </si>
  <si>
    <t>BONO ADICIONAL/PIRA MAIZ/30/01/2026</t>
  </si>
  <si>
    <t>KENIA PIÑA/BONIFICACION ESPECIAL/2DA QUINCENA</t>
  </si>
  <si>
    <t>JEFERSON ALEJOS/BONIFICACION ESPECIAL/2DA QUINCENA</t>
  </si>
  <si>
    <t>BONO SUBSIDIO/DEISY VELASQUEZ/AGROTENDENCIA-PRODUCTOR/30/01/2026</t>
  </si>
  <si>
    <t>BONO SUBSIDIO/ENZO DIMARCELLO/AGROTENDENCIA-PRODUCTOR/30/01/2026</t>
  </si>
  <si>
    <t>BONO SUBSIDIO/AGROTENDENCIA/GERALDINE GUZMAN/AGROTENDENCIA-PRODUCTOR/30/01/2026</t>
  </si>
  <si>
    <t>BONO SUBSIDIO/AGROTENDENCIA/ANYELBIS GALINDDEZ/AGROTENDENCIA-PRODUCTOR/30/01/2026</t>
  </si>
  <si>
    <t>BONO COMPLEMENTARIO/YAMILETH SERRRANO/LEGUMINOSA/30/01/2026</t>
  </si>
  <si>
    <t>BONO COMPLEMENTARIO/RAFAEL FONSECA/ LEGUMINOSA/30/01/2026</t>
  </si>
  <si>
    <t>BONO COMPLEMENTARIO/FRANCO RIVERO/ LEGUMINOSA/30/01/2026</t>
  </si>
  <si>
    <t>BONO COMPLEMENTARIO/MANUEL GOMEZ/PIRA CAFÉ/30/01/2026</t>
  </si>
  <si>
    <t>BONO COMPLEMENTARIO/LUIS TOVAR/AGROTENDENCIAS-PRODUCTOR/30/01/2026</t>
  </si>
  <si>
    <t>BONO COMPLEMENTARIO/RAYMUNDO MESA/ PIRA CAFÉ/30/01/2026</t>
  </si>
  <si>
    <t>BONO COMPLEMENTARIO/EDUARDO MARTINEZ/ AGROTENDENCIA- PRODUCTOR/30/01/2026</t>
  </si>
  <si>
    <t>BONO COMPLEMENTARIO/JHOTSELIS MARTINEZ/ AGROTENDENCIA- PRODUCTOR/30/01/2026</t>
  </si>
  <si>
    <t>BONO COMPLEMENTARIO/DOMINGO DOMINGUEZ/ AGROTENDENCIA- PRODUCTOR/30/01/2026</t>
  </si>
  <si>
    <t>BONO COMPLEMENTARIO/MARIA MENDOZA/PIRA CAFÉ/30/01/2026</t>
  </si>
  <si>
    <t>BONO COMPLEMENTARIO/JUAN CARLOS MUJICA/AGROTENDENCIAS-PRODUCTOR/30/01/2026</t>
  </si>
  <si>
    <t>BONO COMPLEMENTARIO/OSCAR OROPEZA/ AGROTENDENCIAS- PRODUCTOR/30/01/2026</t>
  </si>
  <si>
    <t>BONO COMPLEMENTARIO/DEISY VELASQUEZ/AGROTENDENCIA- PRODUCTOR/30/01/2026</t>
  </si>
  <si>
    <t>BONO COMPLEMENTARIO/ARQUIMIDES GONZALEZ/AGROTENDENCIA- PRODUCTOR/30/01/2026</t>
  </si>
  <si>
    <t>BONO COMPLEMENTARIO/CARLOS PUERTA/PIRA MAIZ/30/01/2026</t>
  </si>
  <si>
    <t>BONO COMPLEMENTARIO/ENZO DIMARCELLO/ AGROTENDENCIA- PRODUCTOR/30/01/2026</t>
  </si>
  <si>
    <t>BONO COMPLEMENTARIO/GERALDINE GUZMAN/AGROTENDENCIAS- PRODUCTOR/30/01/2026</t>
  </si>
  <si>
    <t>BONO COMPLEMENTARIO/LUINEYBER ALVARADO/PIRA MAIZ/30/01/2026</t>
  </si>
  <si>
    <t>BONO COMPLEMENTARIO/ANDERSON PIÑANGO/PIRA MAIZ/30/01/2026</t>
  </si>
  <si>
    <t>BONO COMPLEMENTARIO/XAVIER ALASTRE/AGROTENDENCIA- PRODUCTOR/30/01/2026</t>
  </si>
  <si>
    <t>BONO COMPLEMENTARIO/ANGEL CASTELLANO/ PIRA CAFÉ/30/01/2026</t>
  </si>
  <si>
    <t>BONO COMPLEMENTARIO/GEXIBA TOVAR/PIRA MAIZ/30/01/2026</t>
  </si>
  <si>
    <t>BONO COMPLEMENTARIO/ANGEL GUANIPA/AGROTENDENCIAS- PRODUCTOR/30/01/2026</t>
  </si>
  <si>
    <t>BONO COMPLEMENTARIO/ROSANA RIVERO/PIRA MAIZ/30/01/2026</t>
  </si>
  <si>
    <t>BONO COMPLEMENTARIO/MIGUELANGEL YEPEZ/AGROTENDENCIAS- PRODUCTOR/ 30/01/2026</t>
  </si>
  <si>
    <t>BONO COMPLEMENTARIO/NELSON ALVARADO/ AGROTENDENCIA- PRODUCTOR/30/01/2026</t>
  </si>
  <si>
    <t>BONO COMPLEMENTARIO/ANYELBIS GALINDEZ/AGROTENDENCIA- PRODUCTOR/30/01/2026</t>
  </si>
  <si>
    <t>BONO COMPLEMENTARIO/LUIS SANCHEZ/LEGUMINOSA/30/01/2026</t>
  </si>
  <si>
    <t>BONO COMPLEMENTARIO/FREDIXON PALENCIA/LEGUMINOSA/30/01/2026</t>
  </si>
  <si>
    <t>BONO COMPLEMENTARIO/ANDERSON MORENO/ AGROTENDENCIA- PRODUCTOR/30/01/2026</t>
  </si>
  <si>
    <t>BONO COMPLEMENTARIO/GABRIEL NOGUERA/LEGUMINOSA/30/01/2026</t>
  </si>
  <si>
    <t>BONO COMPLEMENTARIO/HENRY  ALVAREZ/PIRA MAIZ/30/01/2026</t>
  </si>
  <si>
    <t>BONO COMPLEMENTARIO/DENNI MOGOLLON/PIRA CAFÉ/30/01/2026</t>
  </si>
  <si>
    <t>BONO COMPLEMENTARIO/JAVIER CHIRINOS/PIRA MAIZ/30/01/2026</t>
  </si>
  <si>
    <t>BONO COMPLEMENTARIO/STEFANY GALINDEZ/AGROTENDENCIA- PRODUCTOR/13/01/2026</t>
  </si>
  <si>
    <t>BONO COMPLEMENTARIO/NELLY MONTILLA/ PIRA MAIZ/30/01/2026</t>
  </si>
  <si>
    <t>BONO COMPLEMENTARIO/WUILMER PEREZ/AGROTENDENCIA- PRODUCTOR/30/01/2026</t>
  </si>
  <si>
    <t>BONO COMPLEMENTARIO/YOBANNNY MELENEZ/LEGUMIOSA/30/01/2026</t>
  </si>
  <si>
    <t>DIANA HERNANDEZ/BONIFICACION ESPECIAL/2DA QUINCENA</t>
  </si>
  <si>
    <t>BONO COMPLEMENTARIO/YONATHAN DORANTE LEGUMINOSA/30/01/2026</t>
  </si>
  <si>
    <t>BONO COMPLEMENTARIO/CARLOS TORRES/PIRA MAIZ/30/01/2026</t>
  </si>
  <si>
    <t>VACACIONES/JHOTSELYS MARTINEZ/AGROTENDENCIAS-PRODUCTOR/30-01-2026</t>
  </si>
  <si>
    <t>TOP AGRICOLA CA/Adelanto pago franco- pira arroz- nomina 750$</t>
  </si>
  <si>
    <t>Comisión Mantenimiento Cuenta Mes: Enero - 2026</t>
  </si>
  <si>
    <t>BNC</t>
  </si>
  <si>
    <t>SALARIO BASE/PIRA CAFÉ 13/01/2026</t>
  </si>
  <si>
    <t>SALARIO BASE/PIRA MAIZ/13/01/2026</t>
  </si>
  <si>
    <t>SALARIO BASE/ PIRA MAIZ/13/01/2026</t>
  </si>
  <si>
    <t>SALARIO BASE/BONO ESPECIAL /PIRA MAIZ/13/01/2026</t>
  </si>
  <si>
    <t>SALARIO BASE/AGROTENDENCIA-PRODUCTOR/ 30/01/2026</t>
  </si>
  <si>
    <t>BONO COMPLEMENTARIO/CARLOS CHIRINOS/LEGUMINOSA/13/01/2026</t>
  </si>
  <si>
    <t>BONO COMPLEMENTARIO/CARLOS CHIRINOS/LEGUMINOSA/30/01/2026</t>
  </si>
  <si>
    <t>BONO COMPLEMENTARIO/EUCARIS RODRIGUEZ/PARA CAFÉ /13/01/2026</t>
  </si>
  <si>
    <t>BONO COMPLEMENTARIO/HENRY ALVARADO/ PIRA CAFÉ/30/01/2026</t>
  </si>
  <si>
    <t>VACACIONES/JHOTSELYS MARTINEZ/ 30-01-2026</t>
  </si>
  <si>
    <t xml:space="preserve">Maryoly de colina/pago de viaticos para busqueda de insumos agrotendencia/solicitado por fraicer colina escolta -- pago inmediato - </t>
  </si>
  <si>
    <t>42% 1ERA QCNA/ AGROTENDENCIAS PRODUCTOR/ 13-01-2026</t>
  </si>
  <si>
    <t>42% 1ERA QCNA/ LEGUMINOSA/ 13-01-2026</t>
  </si>
  <si>
    <t>42% 1ERA QCNA/ PIRA MAIZ/ 13-01-2026</t>
  </si>
  <si>
    <t>42% 1ERA QCNA/ PIRA CAFÉ/13-01-2026</t>
  </si>
  <si>
    <t>42% 2DA QCNA/ AGROTENDENCIAS PRODUCTOR/ 30-01-2026</t>
  </si>
  <si>
    <t>42% 2DA QCNA/ LEGUMINOSA/ 30-01-2026</t>
  </si>
  <si>
    <t>42% 2DA QCNA/ PIRA MAIZ/ 30-01-2026</t>
  </si>
  <si>
    <t>42% 2DA QCNA/ PIRA CAFÉ/ 30-01-2026</t>
  </si>
  <si>
    <t xml:space="preserve">COM.ASES.FIN.           </t>
  </si>
  <si>
    <t>PROVINCIAL DÓLAR</t>
  </si>
  <si>
    <t>TESORO DÓLAR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</si>
</sst>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2"/>
      <color theme="1"/>
      <name val="Arial"/>
      <family val="2"/>
    </font>
    <font>
      <b/>
      <sz val="11"/>
      <color rgb="FFFFFFFF"/>
      <name val="Calibri"/>
      <family val="2"/>
      <scheme val="minor"/>
    </font>
    <font>
      <sz val="8"/>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scheme val="minor"/>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A4C2F4"/>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top style="medium">
        <color rgb="FF284E3F"/>
      </top>
      <bottom style="medium">
        <color rgb="FF284E3F"/>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medium">
        <color rgb="FFCCCCCC"/>
      </right>
      <top/>
      <bottom style="medium">
        <color rgb="FFCCCCCC"/>
      </bottom>
      <diagonal/>
    </border>
    <border>
      <left style="medium">
        <color rgb="FFCCCCCC"/>
      </left>
      <right/>
      <top/>
      <bottom style="medium">
        <color rgb="FFCCCCCC"/>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0" fillId="0" borderId="0" xfId="0" applyAlignment="1">
      <alignment horizontal="right"/>
    </xf>
    <xf numFmtId="0" fontId="0" fillId="0" borderId="0" xfId="0" applyAlignment="1">
      <alignment horizontal="left"/>
    </xf>
    <xf numFmtId="0" fontId="2" fillId="0" borderId="0" xfId="0" applyFont="1"/>
    <xf numFmtId="43" fontId="0" fillId="0" borderId="0" xfId="1" applyFont="1" applyBorder="1"/>
    <xf numFmtId="0" fontId="3" fillId="0" borderId="1" xfId="0" applyFont="1" applyBorder="1" applyAlignment="1">
      <alignment vertical="center"/>
    </xf>
    <xf numFmtId="14" fontId="0" fillId="0" borderId="0" xfId="0" applyNumberFormat="1" applyAlignment="1">
      <alignment horizontal="right"/>
    </xf>
    <xf numFmtId="4" fontId="0" fillId="0" borderId="0" xfId="0" applyNumberFormat="1" applyAlignment="1">
      <alignment horizontal="center"/>
    </xf>
    <xf numFmtId="0" fontId="3" fillId="0" borderId="1" xfId="0" applyFont="1" applyBorder="1" applyAlignment="1">
      <alignment wrapText="1"/>
    </xf>
    <xf numFmtId="0" fontId="4" fillId="0" borderId="0" xfId="0" applyFont="1" applyAlignment="1">
      <alignment horizontal="center"/>
    </xf>
    <xf numFmtId="0" fontId="4" fillId="0" borderId="0" xfId="0" applyFont="1"/>
    <xf numFmtId="0" fontId="5" fillId="2" borderId="2" xfId="0" applyFont="1" applyFill="1" applyBorder="1" applyAlignment="1">
      <alignment wrapText="1"/>
    </xf>
    <xf numFmtId="0" fontId="5" fillId="2" borderId="3" xfId="0" applyFont="1" applyFill="1" applyBorder="1" applyAlignment="1">
      <alignment horizontal="right" wrapText="1"/>
    </xf>
    <xf numFmtId="0" fontId="5" fillId="2" borderId="3" xfId="0" applyFont="1" applyFill="1" applyBorder="1" applyAlignment="1">
      <alignment wrapText="1"/>
    </xf>
    <xf numFmtId="0" fontId="5" fillId="2" borderId="3" xfId="0" applyFont="1" applyFill="1" applyBorder="1" applyAlignment="1">
      <alignment horizontal="left" wrapText="1"/>
    </xf>
    <xf numFmtId="0" fontId="5" fillId="2" borderId="4" xfId="0" applyFont="1" applyFill="1" applyBorder="1" applyAlignment="1">
      <alignment wrapText="1"/>
    </xf>
    <xf numFmtId="0" fontId="5" fillId="2" borderId="0" xfId="0" applyFont="1" applyFill="1" applyAlignment="1">
      <alignment wrapText="1"/>
    </xf>
    <xf numFmtId="0" fontId="5" fillId="2" borderId="0" xfId="0" applyFont="1" applyFill="1" applyAlignment="1">
      <alignment horizontal="center" wrapText="1"/>
    </xf>
    <xf numFmtId="43" fontId="5" fillId="2" borderId="0" xfId="1" applyFont="1" applyFill="1" applyBorder="1" applyAlignment="1">
      <alignment wrapText="1"/>
    </xf>
    <xf numFmtId="0" fontId="5" fillId="2" borderId="5" xfId="0" applyFont="1" applyFill="1" applyBorder="1" applyAlignment="1">
      <alignment wrapText="1"/>
    </xf>
    <xf numFmtId="0" fontId="5" fillId="2" borderId="6" xfId="0" applyFont="1" applyFill="1" applyBorder="1" applyAlignment="1">
      <alignment wrapText="1"/>
    </xf>
    <xf numFmtId="0" fontId="1" fillId="0" borderId="0" xfId="0" applyFont="1" applyAlignment="1">
      <alignment horizontal="right"/>
    </xf>
    <xf numFmtId="0" fontId="1" fillId="0" borderId="0" xfId="0" applyFont="1"/>
    <xf numFmtId="0" fontId="1" fillId="0" borderId="0" xfId="0" applyFont="1" applyAlignment="1">
      <alignment horizontal="left"/>
    </xf>
    <xf numFmtId="49" fontId="0" fillId="0" borderId="0" xfId="0" applyNumberFormat="1"/>
    <xf numFmtId="0" fontId="0" fillId="3" borderId="0" xfId="0" applyFill="1" applyAlignment="1">
      <alignment wrapText="1"/>
    </xf>
    <xf numFmtId="0" fontId="0" fillId="0" borderId="7" xfId="0" applyBorder="1" applyAlignment="1">
      <alignment wrapText="1"/>
    </xf>
    <xf numFmtId="0" fontId="0" fillId="0" borderId="8" xfId="0" applyBorder="1" applyAlignment="1">
      <alignment wrapText="1"/>
    </xf>
    <xf numFmtId="14" fontId="0" fillId="4" borderId="1" xfId="0" applyNumberFormat="1" applyFill="1" applyBorder="1" applyAlignment="1">
      <alignment horizontal="right" wrapText="1"/>
    </xf>
    <xf numFmtId="0" fontId="0" fillId="4" borderId="1" xfId="0" applyFill="1" applyBorder="1" applyAlignment="1">
      <alignment horizontal="right" wrapText="1"/>
    </xf>
    <xf numFmtId="14" fontId="1" fillId="0" borderId="0" xfId="0" applyNumberFormat="1" applyFont="1"/>
    <xf numFmtId="4" fontId="1" fillId="0" borderId="0" xfId="0" applyNumberFormat="1" applyFont="1" applyAlignment="1">
      <alignment horizontal="right"/>
    </xf>
    <xf numFmtId="43" fontId="7" fillId="0" borderId="0" xfId="1" applyFont="1" applyBorder="1"/>
    <xf numFmtId="14" fontId="0" fillId="0" borderId="0" xfId="0" applyNumberFormat="1"/>
    <xf numFmtId="4" fontId="0" fillId="0" borderId="0" xfId="0" applyNumberFormat="1" applyAlignment="1">
      <alignment horizontal="right"/>
    </xf>
    <xf numFmtId="43" fontId="8" fillId="0" borderId="0" xfId="1" applyFont="1" applyBorder="1"/>
    <xf numFmtId="0" fontId="9" fillId="0" borderId="9" xfId="0" applyFont="1" applyBorder="1" applyAlignment="1">
      <alignment wrapText="1"/>
    </xf>
    <xf numFmtId="0" fontId="9" fillId="0" borderId="10" xfId="0" applyFont="1" applyBorder="1" applyAlignment="1">
      <alignment wrapText="1"/>
    </xf>
    <xf numFmtId="43" fontId="7" fillId="0" borderId="0" xfId="1" applyFont="1" applyFill="1" applyBorder="1"/>
    <xf numFmtId="43" fontId="0" fillId="0" borderId="0" xfId="1" applyFont="1" applyFill="1" applyBorder="1"/>
    <xf numFmtId="0" fontId="0" fillId="0" borderId="0" xfId="0" applyNumberFormat="1" applyAlignment="1">
      <alignment horizontal="left"/>
    </xf>
    <xf numFmtId="0" fontId="0" fillId="0" borderId="0" xfId="0" applyNumberFormat="1"/>
    <xf numFmtId="43" fontId="10" fillId="0" borderId="0" xfId="1" applyFont="1" applyBorder="1"/>
    <xf numFmtId="0" fontId="0" fillId="0" borderId="0" xfId="0" applyFont="1" applyFill="1"/>
    <xf numFmtId="0" fontId="4" fillId="0" borderId="0" xfId="0" applyFont="1" applyAlignment="1">
      <alignment horizontal="center"/>
    </xf>
  </cellXfs>
  <cellStyles count="2">
    <cellStyle name="Millares" xfId="1" builtinId="3"/>
    <cellStyle name="Normal" xfId="0" builtinId="0"/>
  </cellStyles>
  <dxfs count="21">
    <dxf>
      <fill>
        <patternFill patternType="solid">
          <fgColor indexed="64"/>
          <bgColor rgb="FF6AA84F"/>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64" formatCode="dd/mm/yyyy"/>
      <fill>
        <patternFill patternType="solid">
          <fgColor indexed="64"/>
          <bgColor rgb="FF6AA84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numFmt numFmtId="19" formatCode="d/m/yyyy"/>
    </dxf>
    <dxf>
      <font>
        <b/>
        <i val="0"/>
        <strike val="0"/>
        <condense val="0"/>
        <extend val="0"/>
        <outline val="0"/>
        <shadow val="0"/>
        <u val="none"/>
        <vertAlign val="baseline"/>
        <sz val="11"/>
        <color rgb="FFFFFFFF"/>
        <name val="Calibri"/>
        <scheme val="minor"/>
      </font>
      <fill>
        <patternFill patternType="solid">
          <fgColor indexed="64"/>
          <bgColor theme="4" tint="0.3999755851924192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3" displayName="Tabla3" ref="A10:W1169" totalsRowShown="0" headerRowDxfId="20">
  <autoFilter ref="A10:W1169" xr:uid="{00000000-0009-0000-0100-000001000000}"/>
  <tableColumns count="23">
    <tableColumn id="1" xr3:uid="{00000000-0010-0000-0000-000001000000}" name="FECHA" dataDxfId="19"/>
    <tableColumn id="2" xr3:uid="{00000000-0010-0000-0000-000002000000}" name="REFERENCIA" dataDxfId="18"/>
    <tableColumn id="3" xr3:uid="{00000000-0010-0000-0000-000003000000}" name="DESCRIPCIÓN" dataDxfId="17"/>
    <tableColumn id="4" xr3:uid="{00000000-0010-0000-0000-000004000000}" name="MONTO BS" dataDxfId="16"/>
    <tableColumn id="5" xr3:uid="{00000000-0010-0000-0000-000005000000}" name="D/C"/>
    <tableColumn id="6" xr3:uid="{00000000-0010-0000-0000-000006000000}" name="COD/CONT" dataDxfId="15">
      <calculatedColumnFormula>VLOOKUP(Tabla3[[#This Row],[CONTABLE]],'SAPROV (2)'!L:M,2,FALSE)</calculatedColumnFormula>
    </tableColumn>
    <tableColumn id="7" xr3:uid="{00000000-0010-0000-0000-000007000000}" name="CONTABLE" dataDxfId="14"/>
    <tableColumn id="21" xr3:uid="{00000000-0010-0000-0000-000015000000}" name="Deposito" dataDxfId="13"/>
    <tableColumn id="22" xr3:uid="{00000000-0010-0000-0000-000016000000}" name="Codigo Dep" dataDxfId="12">
      <calculatedColumnFormula>VLOOKUP(Tabla3[[#This Row],[Deposito]],'SAPROV (2)'!D:E,2,FALSE)</calculatedColumnFormula>
    </tableColumn>
    <tableColumn id="23" xr3:uid="{00000000-0010-0000-0000-000017000000}" name="Campaña" dataDxfId="11"/>
    <tableColumn id="20" xr3:uid="{00000000-0010-0000-0000-000014000000}" name="PROVEEDOR" dataDxfId="10"/>
    <tableColumn id="19" xr3:uid="{00000000-0010-0000-0000-000013000000}" name="Columna2" dataDxfId="9">
      <calculatedColumnFormula>VLOOKUP(Tabla3[[#This Row],[PROVEEDOR]],'SAPROV (2)'!A:B,2,FALSE)</calculatedColumnFormula>
    </tableColumn>
    <tableColumn id="8" xr3:uid="{00000000-0010-0000-0000-000008000000}" name="COD/SER">
      <calculatedColumnFormula>VLOOKUP(Tabla3[[#This Row],[SERVICIO]],'SAPROV (2)'!I:J,2,FALSE)</calculatedColumnFormula>
    </tableColumn>
    <tableColumn id="9" xr3:uid="{00000000-0010-0000-0000-000009000000}" name="SERVICIO"/>
    <tableColumn id="18" xr3:uid="{00000000-0010-0000-0000-000012000000}" name="Columna1"/>
    <tableColumn id="10" xr3:uid="{00000000-0010-0000-0000-00000A000000}" name="TASA" dataDxfId="8">
      <calculatedColumnFormula>VLOOKUP(Tabla3[[#This Row],[FECHA]],TASA[],2,FALSE)</calculatedColumnFormula>
    </tableColumn>
    <tableColumn id="11" xr3:uid="{00000000-0010-0000-0000-00000B000000}" name="MONTO EN $" dataDxfId="7" dataCellStyle="Millares">
      <calculatedColumnFormula>D11/P11</calculatedColumnFormula>
    </tableColumn>
    <tableColumn id="12" xr3:uid="{00000000-0010-0000-0000-00000C000000}" name="BANCO" dataDxfId="6"/>
    <tableColumn id="13" xr3:uid="{00000000-0010-0000-0000-00000D000000}" name="OBSERVACIONES"/>
    <tableColumn id="14" xr3:uid="{00000000-0010-0000-0000-00000E000000}" name="NªGASTO"/>
    <tableColumn id="15" xr3:uid="{00000000-0010-0000-0000-00000F000000}" name="Nº"/>
    <tableColumn id="16" xr3:uid="{00000000-0010-0000-0000-000010000000}" name="CLASIFICACION"/>
    <tableColumn id="17" xr3:uid="{00000000-0010-0000-0000-000011000000}" name="SEDE"/>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BBF182-AA57-41FC-8FB3-0C22E784D9FB}" name="TASA" displayName="TASA" ref="B3:C34" totalsRowShown="0" headerRowDxfId="5" headerRowBorderDxfId="4" tableBorderDxfId="3" totalsRowBorderDxfId="2">
  <autoFilter ref="B3:C34" xr:uid="{07BBF182-AA57-41FC-8FB3-0C22E784D9FB}"/>
  <tableColumns count="2">
    <tableColumn id="1" xr3:uid="{D6BE80A0-836E-4D90-B4F9-1B009DE9C1AC}" name="FECHA" dataDxfId="1"/>
    <tableColumn id="2" xr3:uid="{727D4B63-190F-4776-832D-C74338792D56}" name="TAS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W1169"/>
  <sheetViews>
    <sheetView tabSelected="1" topLeftCell="A1136" zoomScale="110" zoomScaleNormal="110" workbookViewId="0">
      <selection activeCell="L11" sqref="L11:L1169"/>
    </sheetView>
  </sheetViews>
  <sheetFormatPr baseColWidth="10" defaultRowHeight="15" x14ac:dyDescent="0.25"/>
  <cols>
    <col min="1" max="1" width="11.140625" customWidth="1"/>
    <col min="2" max="2" width="13.7109375" style="1" customWidth="1"/>
    <col min="3" max="3" width="64.5703125" customWidth="1"/>
    <col min="4" max="4" width="12.140625" style="1" customWidth="1"/>
    <col min="5" max="5" width="6.5703125" customWidth="1"/>
    <col min="6" max="6" width="13" style="2" customWidth="1"/>
    <col min="7" max="10" width="12.7109375" style="2" customWidth="1"/>
    <col min="11" max="11" width="30.42578125" style="2" customWidth="1"/>
    <col min="12" max="12" width="12.7109375" style="2" customWidth="1"/>
    <col min="13" max="13" width="29.5703125" customWidth="1"/>
    <col min="14" max="14" width="46.5703125" customWidth="1"/>
    <col min="15" max="15" width="15.42578125" customWidth="1"/>
    <col min="16" max="16" width="11.42578125" customWidth="1"/>
    <col min="17" max="17" width="10.42578125" style="4" customWidth="1"/>
    <col min="19" max="19" width="30.5703125" customWidth="1"/>
    <col min="20" max="20" width="11.42578125" customWidth="1"/>
    <col min="21" max="21" width="5.85546875" customWidth="1"/>
    <col min="22" max="22" width="28" customWidth="1"/>
    <col min="23" max="23" width="28.42578125" customWidth="1"/>
  </cols>
  <sheetData>
    <row r="4" spans="1:23" ht="15.75" thickBot="1" x14ac:dyDescent="0.3">
      <c r="M4" s="3"/>
    </row>
    <row r="5" spans="1:23" ht="15.75" thickBot="1" x14ac:dyDescent="0.3">
      <c r="A5" s="5"/>
      <c r="G5" s="6"/>
      <c r="H5" s="6"/>
      <c r="I5" s="6"/>
      <c r="J5" s="6"/>
      <c r="K5" s="6"/>
      <c r="L5" s="1"/>
      <c r="M5" s="7"/>
      <c r="N5" s="25"/>
      <c r="O5" s="25"/>
    </row>
    <row r="6" spans="1:23" ht="15.75" thickBot="1" x14ac:dyDescent="0.3">
      <c r="A6" s="5"/>
      <c r="G6" s="1"/>
      <c r="H6" s="1"/>
      <c r="I6" s="1"/>
      <c r="J6" s="1"/>
      <c r="K6" s="1"/>
      <c r="L6" s="1"/>
    </row>
    <row r="7" spans="1:23" ht="15.75" thickBot="1" x14ac:dyDescent="0.3">
      <c r="A7" s="5"/>
    </row>
    <row r="8" spans="1:23" ht="28.5" thickBot="1" x14ac:dyDescent="0.45">
      <c r="A8" s="8"/>
      <c r="C8" s="44" t="s">
        <v>0</v>
      </c>
      <c r="D8" s="44"/>
      <c r="E8" s="44"/>
      <c r="F8" s="44"/>
      <c r="G8" s="44"/>
      <c r="H8" s="9"/>
      <c r="I8" s="9"/>
      <c r="J8" s="9"/>
      <c r="K8" s="9"/>
      <c r="L8" s="9"/>
      <c r="M8" s="10"/>
      <c r="N8" s="10"/>
      <c r="O8" s="10"/>
    </row>
    <row r="9" spans="1:23" ht="15.75" thickBot="1" x14ac:dyDescent="0.3"/>
    <row r="10" spans="1:23" ht="26.25" customHeight="1" thickBot="1" x14ac:dyDescent="0.3">
      <c r="A10" s="11" t="s">
        <v>1</v>
      </c>
      <c r="B10" s="12" t="s">
        <v>2</v>
      </c>
      <c r="C10" s="13" t="s">
        <v>3</v>
      </c>
      <c r="D10" s="12" t="s">
        <v>4</v>
      </c>
      <c r="E10" s="13" t="s">
        <v>5</v>
      </c>
      <c r="F10" s="14" t="s">
        <v>6</v>
      </c>
      <c r="G10" s="14" t="s">
        <v>7</v>
      </c>
      <c r="H10" s="14" t="s">
        <v>173</v>
      </c>
      <c r="I10" s="14" t="s">
        <v>172</v>
      </c>
      <c r="J10" s="14" t="s">
        <v>171</v>
      </c>
      <c r="K10" s="14" t="s">
        <v>180</v>
      </c>
      <c r="L10" s="14" t="s">
        <v>8</v>
      </c>
      <c r="M10" s="13" t="s">
        <v>9</v>
      </c>
      <c r="N10" s="15" t="s">
        <v>10</v>
      </c>
      <c r="O10" s="16" t="s">
        <v>11</v>
      </c>
      <c r="P10" s="17" t="s">
        <v>12</v>
      </c>
      <c r="Q10" s="18" t="s">
        <v>13</v>
      </c>
      <c r="R10" s="16" t="s">
        <v>14</v>
      </c>
      <c r="S10" s="16" t="s">
        <v>15</v>
      </c>
      <c r="T10" s="16" t="s">
        <v>16</v>
      </c>
      <c r="U10" s="19" t="s">
        <v>17</v>
      </c>
      <c r="V10" s="19" t="s">
        <v>18</v>
      </c>
      <c r="W10" s="20" t="s">
        <v>19</v>
      </c>
    </row>
    <row r="11" spans="1:23" x14ac:dyDescent="0.25">
      <c r="A11" s="30">
        <v>46030</v>
      </c>
      <c r="B11" s="21">
        <v>13264946969</v>
      </c>
      <c r="C11" s="23" t="s">
        <v>1144</v>
      </c>
      <c r="D11" s="31">
        <v>-768.54</v>
      </c>
      <c r="E11" s="22" t="s">
        <v>20</v>
      </c>
      <c r="F11" s="23" t="e">
        <f>VLOOKUP(Tabla3[[#This Row],[CONTABLE]],'SAPROV (2)'!L:M,2,FALSE)</f>
        <v>#N/A</v>
      </c>
      <c r="G11" s="23"/>
      <c r="H11" t="s">
        <v>588</v>
      </c>
      <c r="I11" s="23" t="str">
        <f>VLOOKUP(Tabla3[[#This Row],[Deposito]],'SAPROV (2)'!D:E,2,FALSE)</f>
        <v>A01</v>
      </c>
      <c r="J11" s="23"/>
      <c r="K11" s="23" t="s">
        <v>23</v>
      </c>
      <c r="L11" s="23" t="str">
        <f>VLOOKUP(Tabla3[[#This Row],[PROVEEDOR]],'SAPROV (2)'!A:B,2,FALSE)</f>
        <v>04</v>
      </c>
      <c r="M11" s="22" t="str">
        <f>VLOOKUP(Tabla3[[#This Row],[SERVICIO]],'SAPROV (2)'!I:J,2,FALSE)</f>
        <v>SERV0060</v>
      </c>
      <c r="N11" s="22" t="s">
        <v>611</v>
      </c>
      <c r="O11" s="22"/>
      <c r="P11" s="22">
        <f>VLOOKUP(Tabla3[[#This Row],[FECHA]],TASA[],2,FALSE)</f>
        <v>321.02999999999997</v>
      </c>
      <c r="Q11" s="32">
        <f t="shared" ref="Q11:Q21" si="0">D11/P11</f>
        <v>-2.3939818708531915</v>
      </c>
      <c r="R11" t="s">
        <v>1055</v>
      </c>
    </row>
    <row r="12" spans="1:23" x14ac:dyDescent="0.25">
      <c r="A12" s="30">
        <v>46030</v>
      </c>
      <c r="B12" s="21">
        <v>13264948035</v>
      </c>
      <c r="C12" s="23" t="s">
        <v>1144</v>
      </c>
      <c r="D12" s="31">
        <v>-422.7</v>
      </c>
      <c r="E12" s="22" t="s">
        <v>20</v>
      </c>
      <c r="F12" s="23" t="e">
        <f>VLOOKUP(Tabla3[[#This Row],[CONTABLE]],'SAPROV (2)'!L:M,2,FALSE)</f>
        <v>#N/A</v>
      </c>
      <c r="G12" s="23"/>
      <c r="H12" t="s">
        <v>588</v>
      </c>
      <c r="I12" s="23" t="str">
        <f>VLOOKUP(Tabla3[[#This Row],[Deposito]],'SAPROV (2)'!D:E,2,FALSE)</f>
        <v>A01</v>
      </c>
      <c r="J12" s="23"/>
      <c r="K12" s="23" t="s">
        <v>23</v>
      </c>
      <c r="L12" s="23" t="str">
        <f>VLOOKUP(Tabla3[[#This Row],[PROVEEDOR]],'SAPROV (2)'!A:B,2,FALSE)</f>
        <v>04</v>
      </c>
      <c r="M12" s="22" t="str">
        <f>VLOOKUP(Tabla3[[#This Row],[SERVICIO]],'SAPROV (2)'!I:J,2,FALSE)</f>
        <v>SERV0060</v>
      </c>
      <c r="N12" s="22" t="s">
        <v>611</v>
      </c>
      <c r="O12" s="22"/>
      <c r="P12" s="22">
        <f>VLOOKUP(Tabla3[[#This Row],[FECHA]],TASA[],2,FALSE)</f>
        <v>321.02999999999997</v>
      </c>
      <c r="Q12" s="32">
        <f t="shared" si="0"/>
        <v>-1.3166993738902908</v>
      </c>
      <c r="R12" t="s">
        <v>1055</v>
      </c>
    </row>
    <row r="13" spans="1:23" x14ac:dyDescent="0.25">
      <c r="A13" s="33">
        <v>46030</v>
      </c>
      <c r="B13" s="1">
        <v>13264948745</v>
      </c>
      <c r="C13" s="2" t="s">
        <v>1144</v>
      </c>
      <c r="D13" s="34">
        <v>-238.08</v>
      </c>
      <c r="E13" s="22" t="s">
        <v>20</v>
      </c>
      <c r="F13" s="2" t="e">
        <f>VLOOKUP(Tabla3[[#This Row],[CONTABLE]],'SAPROV (2)'!L:M,2,FALSE)</f>
        <v>#N/A</v>
      </c>
      <c r="H13" t="s">
        <v>588</v>
      </c>
      <c r="I13" s="2" t="str">
        <f>VLOOKUP(Tabla3[[#This Row],[Deposito]],'SAPROV (2)'!D:E,2,FALSE)</f>
        <v>A01</v>
      </c>
      <c r="K13" s="23" t="s">
        <v>23</v>
      </c>
      <c r="L13" s="2" t="str">
        <f>VLOOKUP(Tabla3[[#This Row],[PROVEEDOR]],'SAPROV (2)'!A:B,2,FALSE)</f>
        <v>04</v>
      </c>
      <c r="M13" t="str">
        <f>VLOOKUP(Tabla3[[#This Row],[SERVICIO]],'SAPROV (2)'!I:J,2,FALSE)</f>
        <v>SERV0060</v>
      </c>
      <c r="N13" t="s">
        <v>611</v>
      </c>
      <c r="P13">
        <f>VLOOKUP(Tabla3[[#This Row],[FECHA]],TASA[],2,FALSE)</f>
        <v>321.02999999999997</v>
      </c>
      <c r="Q13" s="32">
        <f t="shared" si="0"/>
        <v>-0.7416129333707131</v>
      </c>
      <c r="R13" t="s">
        <v>1055</v>
      </c>
    </row>
    <row r="14" spans="1:23" x14ac:dyDescent="0.25">
      <c r="A14" s="33">
        <v>46030</v>
      </c>
      <c r="B14" s="1">
        <v>13264956402</v>
      </c>
      <c r="C14" s="2" t="s">
        <v>1144</v>
      </c>
      <c r="D14" s="34">
        <v>-548.36</v>
      </c>
      <c r="E14" s="22" t="s">
        <v>20</v>
      </c>
      <c r="F14" s="2" t="e">
        <f>VLOOKUP(Tabla3[[#This Row],[CONTABLE]],'SAPROV (2)'!L:M,2,FALSE)</f>
        <v>#N/A</v>
      </c>
      <c r="H14" t="s">
        <v>588</v>
      </c>
      <c r="I14" s="2" t="str">
        <f>VLOOKUP(Tabla3[[#This Row],[Deposito]],'SAPROV (2)'!D:E,2,FALSE)</f>
        <v>A01</v>
      </c>
      <c r="K14" s="23" t="s">
        <v>23</v>
      </c>
      <c r="L14" s="23" t="str">
        <f>VLOOKUP(Tabla3[[#This Row],[PROVEEDOR]],'SAPROV (2)'!A:B,2,FALSE)</f>
        <v>04</v>
      </c>
      <c r="M14" t="str">
        <f>VLOOKUP(Tabla3[[#This Row],[SERVICIO]],'SAPROV (2)'!I:J,2,FALSE)</f>
        <v>SERV0060</v>
      </c>
      <c r="N14" t="s">
        <v>611</v>
      </c>
      <c r="P14">
        <f>VLOOKUP(Tabla3[[#This Row],[FECHA]],TASA[],2,FALSE)</f>
        <v>321.02999999999997</v>
      </c>
      <c r="Q14" s="32">
        <f t="shared" si="0"/>
        <v>-1.7081269663271348</v>
      </c>
      <c r="R14" t="s">
        <v>1055</v>
      </c>
    </row>
    <row r="15" spans="1:23" x14ac:dyDescent="0.25">
      <c r="A15" s="33">
        <v>46031</v>
      </c>
      <c r="B15" s="1">
        <v>13265531340</v>
      </c>
      <c r="C15" s="2" t="s">
        <v>1144</v>
      </c>
      <c r="D15" s="34">
        <v>-3000</v>
      </c>
      <c r="E15" s="22" t="s">
        <v>20</v>
      </c>
      <c r="F15" s="2" t="e">
        <f>VLOOKUP(Tabla3[[#This Row],[CONTABLE]],'SAPROV (2)'!L:M,2,FALSE)</f>
        <v>#N/A</v>
      </c>
      <c r="H15" t="s">
        <v>588</v>
      </c>
      <c r="I15" s="2" t="str">
        <f>VLOOKUP(Tabla3[[#This Row],[Deposito]],'SAPROV (2)'!D:E,2,FALSE)</f>
        <v>A01</v>
      </c>
      <c r="K15" s="23" t="s">
        <v>23</v>
      </c>
      <c r="L15" s="23" t="str">
        <f>VLOOKUP(Tabla3[[#This Row],[PROVEEDOR]],'SAPROV (2)'!A:B,2,FALSE)</f>
        <v>04</v>
      </c>
      <c r="M15" t="str">
        <f>VLOOKUP(Tabla3[[#This Row],[SERVICIO]],'SAPROV (2)'!I:J,2,FALSE)</f>
        <v>SERV0060</v>
      </c>
      <c r="N15" t="s">
        <v>611</v>
      </c>
      <c r="P15">
        <f>VLOOKUP(Tabla3[[#This Row],[FECHA]],TASA[],2,FALSE)</f>
        <v>325.39</v>
      </c>
      <c r="Q15" s="32">
        <f t="shared" si="0"/>
        <v>-9.2197055840683486</v>
      </c>
      <c r="R15" t="s">
        <v>1055</v>
      </c>
    </row>
    <row r="16" spans="1:23" x14ac:dyDescent="0.25">
      <c r="A16" s="33">
        <v>46031</v>
      </c>
      <c r="B16" s="1">
        <v>13265532349</v>
      </c>
      <c r="C16" s="2" t="s">
        <v>1144</v>
      </c>
      <c r="D16" s="34">
        <v>-900</v>
      </c>
      <c r="E16" s="22" t="s">
        <v>20</v>
      </c>
      <c r="F16" s="2" t="e">
        <f>VLOOKUP(Tabla3[[#This Row],[CONTABLE]],'SAPROV (2)'!L:M,2,FALSE)</f>
        <v>#N/A</v>
      </c>
      <c r="H16" t="s">
        <v>588</v>
      </c>
      <c r="I16" s="2" t="str">
        <f>VLOOKUP(Tabla3[[#This Row],[Deposito]],'SAPROV (2)'!D:E,2,FALSE)</f>
        <v>A01</v>
      </c>
      <c r="K16" s="23" t="s">
        <v>23</v>
      </c>
      <c r="L16" s="2" t="str">
        <f>VLOOKUP(Tabla3[[#This Row],[PROVEEDOR]],'SAPROV (2)'!A:B,2,FALSE)</f>
        <v>04</v>
      </c>
      <c r="M16" t="str">
        <f>VLOOKUP(Tabla3[[#This Row],[SERVICIO]],'SAPROV (2)'!I:J,2,FALSE)</f>
        <v>SERV0060</v>
      </c>
      <c r="N16" t="s">
        <v>611</v>
      </c>
      <c r="P16">
        <f>VLOOKUP(Tabla3[[#This Row],[FECHA]],TASA[],2,FALSE)</f>
        <v>325.39</v>
      </c>
      <c r="Q16" s="32">
        <f t="shared" si="0"/>
        <v>-2.7659116752205049</v>
      </c>
      <c r="R16" t="s">
        <v>1055</v>
      </c>
    </row>
    <row r="17" spans="1:18" x14ac:dyDescent="0.25">
      <c r="A17" s="33">
        <v>46031</v>
      </c>
      <c r="B17" s="1">
        <v>13265533768</v>
      </c>
      <c r="C17" s="2" t="s">
        <v>1144</v>
      </c>
      <c r="D17" s="34">
        <v>-1500</v>
      </c>
      <c r="E17" s="22" t="s">
        <v>20</v>
      </c>
      <c r="F17" s="2" t="e">
        <f>VLOOKUP(Tabla3[[#This Row],[CONTABLE]],'SAPROV (2)'!L:M,2,FALSE)</f>
        <v>#N/A</v>
      </c>
      <c r="H17" t="s">
        <v>588</v>
      </c>
      <c r="I17" s="2" t="str">
        <f>VLOOKUP(Tabla3[[#This Row],[Deposito]],'SAPROV (2)'!D:E,2,FALSE)</f>
        <v>A01</v>
      </c>
      <c r="K17" s="23" t="s">
        <v>23</v>
      </c>
      <c r="L17" s="23" t="str">
        <f>VLOOKUP(Tabla3[[#This Row],[PROVEEDOR]],'SAPROV (2)'!A:B,2,FALSE)</f>
        <v>04</v>
      </c>
      <c r="M17" t="str">
        <f>VLOOKUP(Tabla3[[#This Row],[SERVICIO]],'SAPROV (2)'!I:J,2,FALSE)</f>
        <v>SERV0060</v>
      </c>
      <c r="N17" t="s">
        <v>611</v>
      </c>
      <c r="P17">
        <f>VLOOKUP(Tabla3[[#This Row],[FECHA]],TASA[],2,FALSE)</f>
        <v>325.39</v>
      </c>
      <c r="Q17" s="32">
        <f t="shared" si="0"/>
        <v>-4.6098527920341743</v>
      </c>
      <c r="R17" t="s">
        <v>1055</v>
      </c>
    </row>
    <row r="18" spans="1:18" x14ac:dyDescent="0.25">
      <c r="A18" s="33">
        <v>46035</v>
      </c>
      <c r="B18" s="1">
        <v>13266810676</v>
      </c>
      <c r="C18" s="2" t="s">
        <v>1144</v>
      </c>
      <c r="D18" s="34">
        <v>-2</v>
      </c>
      <c r="E18" s="22" t="s">
        <v>20</v>
      </c>
      <c r="F18" s="2" t="e">
        <f>VLOOKUP(Tabla3[[#This Row],[CONTABLE]],'SAPROV (2)'!L:M,2,FALSE)</f>
        <v>#N/A</v>
      </c>
      <c r="H18" t="s">
        <v>588</v>
      </c>
      <c r="I18" s="2" t="str">
        <f>VLOOKUP(Tabla3[[#This Row],[Deposito]],'SAPROV (2)'!D:E,2,FALSE)</f>
        <v>A01</v>
      </c>
      <c r="K18" s="23" t="s">
        <v>23</v>
      </c>
      <c r="L18" s="23" t="str">
        <f>VLOOKUP(Tabla3[[#This Row],[PROVEEDOR]],'SAPROV (2)'!A:B,2,FALSE)</f>
        <v>04</v>
      </c>
      <c r="M18" t="str">
        <f>VLOOKUP(Tabla3[[#This Row],[SERVICIO]],'SAPROV (2)'!I:J,2,FALSE)</f>
        <v>SERV0060</v>
      </c>
      <c r="N18" t="s">
        <v>611</v>
      </c>
      <c r="P18">
        <f>VLOOKUP(Tabla3[[#This Row],[FECHA]],TASA[],2,FALSE)</f>
        <v>330.38</v>
      </c>
      <c r="Q18" s="32">
        <f t="shared" si="0"/>
        <v>-6.0536352079423698E-3</v>
      </c>
      <c r="R18" t="s">
        <v>1055</v>
      </c>
    </row>
    <row r="19" spans="1:18" x14ac:dyDescent="0.25">
      <c r="A19" s="33">
        <v>46035</v>
      </c>
      <c r="B19" s="1">
        <v>13266838623</v>
      </c>
      <c r="C19" s="2" t="s">
        <v>1144</v>
      </c>
      <c r="D19" s="34">
        <v>-48.16</v>
      </c>
      <c r="E19" s="22" t="s">
        <v>20</v>
      </c>
      <c r="F19" s="2" t="e">
        <f>VLOOKUP(Tabla3[[#This Row],[CONTABLE]],'SAPROV (2)'!L:M,2,FALSE)</f>
        <v>#N/A</v>
      </c>
      <c r="H19" t="s">
        <v>588</v>
      </c>
      <c r="I19" s="2" t="str">
        <f>VLOOKUP(Tabla3[[#This Row],[Deposito]],'SAPROV (2)'!D:E,2,FALSE)</f>
        <v>A01</v>
      </c>
      <c r="K19" s="23" t="s">
        <v>23</v>
      </c>
      <c r="L19" s="2" t="str">
        <f>VLOOKUP(Tabla3[[#This Row],[PROVEEDOR]],'SAPROV (2)'!A:B,2,FALSE)</f>
        <v>04</v>
      </c>
      <c r="M19" t="str">
        <f>VLOOKUP(Tabla3[[#This Row],[SERVICIO]],'SAPROV (2)'!I:J,2,FALSE)</f>
        <v>SERV0060</v>
      </c>
      <c r="N19" t="s">
        <v>611</v>
      </c>
      <c r="P19">
        <f>VLOOKUP(Tabla3[[#This Row],[FECHA]],TASA[],2,FALSE)</f>
        <v>330.38</v>
      </c>
      <c r="Q19" s="32">
        <f t="shared" si="0"/>
        <v>-0.14577153580725224</v>
      </c>
      <c r="R19" t="s">
        <v>1055</v>
      </c>
    </row>
    <row r="20" spans="1:18" x14ac:dyDescent="0.25">
      <c r="A20" s="33">
        <v>46035</v>
      </c>
      <c r="B20" s="1">
        <v>13267182287</v>
      </c>
      <c r="C20" s="2" t="s">
        <v>1144</v>
      </c>
      <c r="D20" s="34">
        <v>-2759.29</v>
      </c>
      <c r="E20" s="22" t="s">
        <v>20</v>
      </c>
      <c r="F20" s="2" t="e">
        <f>VLOOKUP(Tabla3[[#This Row],[CONTABLE]],'SAPROV (2)'!L:M,2,FALSE)</f>
        <v>#N/A</v>
      </c>
      <c r="H20" t="s">
        <v>588</v>
      </c>
      <c r="I20" s="2" t="str">
        <f>VLOOKUP(Tabla3[[#This Row],[Deposito]],'SAPROV (2)'!D:E,2,FALSE)</f>
        <v>A01</v>
      </c>
      <c r="K20" s="23" t="s">
        <v>23</v>
      </c>
      <c r="L20" s="23" t="str">
        <f>VLOOKUP(Tabla3[[#This Row],[PROVEEDOR]],'SAPROV (2)'!A:B,2,FALSE)</f>
        <v>04</v>
      </c>
      <c r="M20" t="str">
        <f>VLOOKUP(Tabla3[[#This Row],[SERVICIO]],'SAPROV (2)'!I:J,2,FALSE)</f>
        <v>SERV0060</v>
      </c>
      <c r="N20" t="s">
        <v>611</v>
      </c>
      <c r="P20">
        <f>VLOOKUP(Tabla3[[#This Row],[FECHA]],TASA[],2,FALSE)</f>
        <v>330.38</v>
      </c>
      <c r="Q20" s="32">
        <f t="shared" si="0"/>
        <v>-8.3518675464616496</v>
      </c>
      <c r="R20" t="s">
        <v>1055</v>
      </c>
    </row>
    <row r="21" spans="1:18" x14ac:dyDescent="0.25">
      <c r="A21" s="33">
        <v>46035</v>
      </c>
      <c r="B21" s="1">
        <v>13267244404</v>
      </c>
      <c r="C21" s="2" t="s">
        <v>1144</v>
      </c>
      <c r="D21" s="34">
        <v>-3000</v>
      </c>
      <c r="E21" s="22" t="s">
        <v>20</v>
      </c>
      <c r="F21" s="2" t="e">
        <f>VLOOKUP(Tabla3[[#This Row],[CONTABLE]],'SAPROV (2)'!L:M,2,FALSE)</f>
        <v>#N/A</v>
      </c>
      <c r="H21" t="s">
        <v>588</v>
      </c>
      <c r="I21" s="2" t="str">
        <f>VLOOKUP(Tabla3[[#This Row],[Deposito]],'SAPROV (2)'!D:E,2,FALSE)</f>
        <v>A01</v>
      </c>
      <c r="K21" s="23" t="s">
        <v>23</v>
      </c>
      <c r="L21" s="23" t="str">
        <f>VLOOKUP(Tabla3[[#This Row],[PROVEEDOR]],'SAPROV (2)'!A:B,2,FALSE)</f>
        <v>04</v>
      </c>
      <c r="M21" t="str">
        <f>VLOOKUP(Tabla3[[#This Row],[SERVICIO]],'SAPROV (2)'!I:J,2,FALSE)</f>
        <v>SERV0060</v>
      </c>
      <c r="N21" t="s">
        <v>611</v>
      </c>
      <c r="P21">
        <f>VLOOKUP(Tabla3[[#This Row],[FECHA]],TASA[],2,FALSE)</f>
        <v>330.38</v>
      </c>
      <c r="Q21" s="32">
        <f t="shared" si="0"/>
        <v>-9.0804528119135544</v>
      </c>
      <c r="R21" t="s">
        <v>1055</v>
      </c>
    </row>
    <row r="22" spans="1:18" x14ac:dyDescent="0.25">
      <c r="A22" s="33">
        <v>46035</v>
      </c>
      <c r="B22" s="1">
        <v>13267396284</v>
      </c>
      <c r="C22" s="2" t="s">
        <v>1144</v>
      </c>
      <c r="D22" s="34">
        <v>-371.67</v>
      </c>
      <c r="E22" s="22" t="s">
        <v>20</v>
      </c>
      <c r="F22" s="2" t="e">
        <f>VLOOKUP(Tabla3[[#This Row],[CONTABLE]],'SAPROV (2)'!L:M,2,FALSE)</f>
        <v>#N/A</v>
      </c>
      <c r="H22" t="s">
        <v>588</v>
      </c>
      <c r="I22" s="2" t="str">
        <f>VLOOKUP(Tabla3[[#This Row],[Deposito]],'SAPROV (2)'!D:E,2,FALSE)</f>
        <v>A01</v>
      </c>
      <c r="K22" s="23" t="s">
        <v>23</v>
      </c>
      <c r="L22" s="2" t="str">
        <f>VLOOKUP(Tabla3[[#This Row],[PROVEEDOR]],'SAPROV (2)'!A:B,2,FALSE)</f>
        <v>04</v>
      </c>
      <c r="M22" t="str">
        <f>VLOOKUP(Tabla3[[#This Row],[SERVICIO]],'SAPROV (2)'!I:J,2,FALSE)</f>
        <v>SERV0060</v>
      </c>
      <c r="N22" t="s">
        <v>611</v>
      </c>
      <c r="P22">
        <f>VLOOKUP(Tabla3[[#This Row],[FECHA]],TASA[],2,FALSE)</f>
        <v>330.38</v>
      </c>
      <c r="Q22" s="32">
        <f t="shared" ref="Q22:Q23" si="1">D22/P22</f>
        <v>-1.1249772988679703</v>
      </c>
      <c r="R22" t="s">
        <v>1055</v>
      </c>
    </row>
    <row r="23" spans="1:18" x14ac:dyDescent="0.25">
      <c r="A23" s="33">
        <v>46037</v>
      </c>
      <c r="B23" s="1">
        <v>29122025</v>
      </c>
      <c r="C23" s="2" t="s">
        <v>1145</v>
      </c>
      <c r="D23" s="34">
        <v>-8</v>
      </c>
      <c r="E23" s="22" t="s">
        <v>20</v>
      </c>
      <c r="F23" s="2" t="e">
        <f>VLOOKUP(Tabla3[[#This Row],[CONTABLE]],'SAPROV (2)'!L:M,2,FALSE)</f>
        <v>#N/A</v>
      </c>
      <c r="H23" t="s">
        <v>588</v>
      </c>
      <c r="I23" s="2" t="str">
        <f>VLOOKUP(Tabla3[[#This Row],[Deposito]],'SAPROV (2)'!D:E,2,FALSE)</f>
        <v>A01</v>
      </c>
      <c r="K23" s="23" t="s">
        <v>23</v>
      </c>
      <c r="L23" s="23" t="str">
        <f>VLOOKUP(Tabla3[[#This Row],[PROVEEDOR]],'SAPROV (2)'!A:B,2,FALSE)</f>
        <v>04</v>
      </c>
      <c r="M23" t="str">
        <f>VLOOKUP(Tabla3[[#This Row],[SERVICIO]],'SAPROV (2)'!I:J,2,FALSE)</f>
        <v>SERV0060</v>
      </c>
      <c r="N23" t="s">
        <v>611</v>
      </c>
      <c r="P23">
        <f>VLOOKUP(Tabla3[[#This Row],[FECHA]],TASA[],2,FALSE)</f>
        <v>339.15</v>
      </c>
      <c r="Q23" s="32">
        <f t="shared" si="1"/>
        <v>-2.3588382721509659E-2</v>
      </c>
      <c r="R23" t="s">
        <v>1055</v>
      </c>
    </row>
    <row r="24" spans="1:18" x14ac:dyDescent="0.25">
      <c r="A24" s="33">
        <v>46038</v>
      </c>
      <c r="B24" s="1">
        <v>3581452125</v>
      </c>
      <c r="C24" s="2" t="s">
        <v>1146</v>
      </c>
      <c r="D24" s="34">
        <v>-1146.01</v>
      </c>
      <c r="E24" s="22" t="s">
        <v>20</v>
      </c>
      <c r="F24" s="2" t="e">
        <f>VLOOKUP(Tabla3[[#This Row],[CONTABLE]],'SAPROV (2)'!L:M,2,FALSE)</f>
        <v>#N/A</v>
      </c>
      <c r="H24" t="s">
        <v>588</v>
      </c>
      <c r="I24" s="2" t="str">
        <f>VLOOKUP(Tabla3[[#This Row],[Deposito]],'SAPROV (2)'!D:E,2,FALSE)</f>
        <v>A01</v>
      </c>
      <c r="K24" s="2" t="s">
        <v>101</v>
      </c>
      <c r="L24" s="23" t="str">
        <f>VLOOKUP(Tabla3[[#This Row],[PROVEEDOR]],'SAPROV (2)'!A:B,2,FALSE)</f>
        <v>36</v>
      </c>
      <c r="M24" t="str">
        <f>VLOOKUP(Tabla3[[#This Row],[SERVICIO]],'SAPROV (2)'!I:J,2,FALSE)</f>
        <v>SERV0011</v>
      </c>
      <c r="N24" t="s">
        <v>927</v>
      </c>
      <c r="P24">
        <f>VLOOKUP(Tabla3[[#This Row],[FECHA]],TASA[],2,FALSE)</f>
        <v>341.74</v>
      </c>
      <c r="Q24" s="32">
        <f t="shared" ref="Q24:Q55" si="2">D24/P24</f>
        <v>-3.3534558436238076</v>
      </c>
      <c r="R24" t="s">
        <v>1055</v>
      </c>
    </row>
    <row r="25" spans="1:18" x14ac:dyDescent="0.25">
      <c r="A25" s="33">
        <v>46042</v>
      </c>
      <c r="B25" s="1">
        <v>44702001</v>
      </c>
      <c r="C25" s="2" t="s">
        <v>1147</v>
      </c>
      <c r="D25" s="34">
        <v>-3000</v>
      </c>
      <c r="E25" s="22" t="s">
        <v>20</v>
      </c>
      <c r="F25" s="2" t="e">
        <f>VLOOKUP(Tabla3[[#This Row],[CONTABLE]],'SAPROV (2)'!L:M,2,FALSE)</f>
        <v>#N/A</v>
      </c>
      <c r="H25" t="s">
        <v>588</v>
      </c>
      <c r="I25" s="2" t="str">
        <f>VLOOKUP(Tabla3[[#This Row],[Deposito]],'SAPROV (2)'!D:E,2,FALSE)</f>
        <v>A01</v>
      </c>
      <c r="K25" s="23" t="s">
        <v>23</v>
      </c>
      <c r="L25" s="2" t="str">
        <f>VLOOKUP(Tabla3[[#This Row],[PROVEEDOR]],'SAPROV (2)'!A:B,2,FALSE)</f>
        <v>04</v>
      </c>
      <c r="M25" t="str">
        <f>VLOOKUP(Tabla3[[#This Row],[SERVICIO]],'SAPROV (2)'!I:J,2,FALSE)</f>
        <v>SERV0060</v>
      </c>
      <c r="N25" t="s">
        <v>611</v>
      </c>
      <c r="P25">
        <f>VLOOKUP(Tabla3[[#This Row],[FECHA]],TASA[],2,FALSE)</f>
        <v>344.51</v>
      </c>
      <c r="Q25" s="32">
        <f t="shared" si="2"/>
        <v>-8.7080200864996673</v>
      </c>
      <c r="R25" t="s">
        <v>1055</v>
      </c>
    </row>
    <row r="26" spans="1:18" x14ac:dyDescent="0.25">
      <c r="A26" s="33">
        <v>46042</v>
      </c>
      <c r="B26" s="1">
        <v>44702001</v>
      </c>
      <c r="C26" s="2" t="s">
        <v>1147</v>
      </c>
      <c r="D26" s="34">
        <v>-3000</v>
      </c>
      <c r="E26" s="22" t="s">
        <v>20</v>
      </c>
      <c r="F26" s="2" t="e">
        <f>VLOOKUP(Tabla3[[#This Row],[CONTABLE]],'SAPROV (2)'!L:M,2,FALSE)</f>
        <v>#N/A</v>
      </c>
      <c r="H26" t="s">
        <v>588</v>
      </c>
      <c r="I26" s="2" t="str">
        <f>VLOOKUP(Tabla3[[#This Row],[Deposito]],'SAPROV (2)'!D:E,2,FALSE)</f>
        <v>A01</v>
      </c>
      <c r="K26" s="23" t="s">
        <v>23</v>
      </c>
      <c r="L26" s="23" t="str">
        <f>VLOOKUP(Tabla3[[#This Row],[PROVEEDOR]],'SAPROV (2)'!A:B,2,FALSE)</f>
        <v>04</v>
      </c>
      <c r="M26" t="str">
        <f>VLOOKUP(Tabla3[[#This Row],[SERVICIO]],'SAPROV (2)'!I:J,2,FALSE)</f>
        <v>SERV0060</v>
      </c>
      <c r="N26" t="s">
        <v>611</v>
      </c>
      <c r="P26">
        <f>VLOOKUP(Tabla3[[#This Row],[FECHA]],TASA[],2,FALSE)</f>
        <v>344.51</v>
      </c>
      <c r="Q26" s="32">
        <f t="shared" si="2"/>
        <v>-8.7080200864996673</v>
      </c>
      <c r="R26" t="s">
        <v>1055</v>
      </c>
    </row>
    <row r="27" spans="1:18" x14ac:dyDescent="0.25">
      <c r="A27" s="33">
        <v>46042</v>
      </c>
      <c r="B27" s="1">
        <v>44702001</v>
      </c>
      <c r="C27" s="2" t="s">
        <v>1147</v>
      </c>
      <c r="D27" s="34">
        <v>-3000</v>
      </c>
      <c r="E27" s="22" t="s">
        <v>20</v>
      </c>
      <c r="F27" s="2" t="e">
        <f>VLOOKUP(Tabla3[[#This Row],[CONTABLE]],'SAPROV (2)'!L:M,2,FALSE)</f>
        <v>#N/A</v>
      </c>
      <c r="H27" t="s">
        <v>588</v>
      </c>
      <c r="I27" s="2" t="str">
        <f>VLOOKUP(Tabla3[[#This Row],[Deposito]],'SAPROV (2)'!D:E,2,FALSE)</f>
        <v>A01</v>
      </c>
      <c r="K27" s="23" t="s">
        <v>23</v>
      </c>
      <c r="L27" s="23" t="str">
        <f>VLOOKUP(Tabla3[[#This Row],[PROVEEDOR]],'SAPROV (2)'!A:B,2,FALSE)</f>
        <v>04</v>
      </c>
      <c r="M27" t="str">
        <f>VLOOKUP(Tabla3[[#This Row],[SERVICIO]],'SAPROV (2)'!I:J,2,FALSE)</f>
        <v>SERV0060</v>
      </c>
      <c r="N27" t="s">
        <v>611</v>
      </c>
      <c r="P27">
        <f>VLOOKUP(Tabla3[[#This Row],[FECHA]],TASA[],2,FALSE)</f>
        <v>344.51</v>
      </c>
      <c r="Q27" s="32">
        <f t="shared" si="2"/>
        <v>-8.7080200864996673</v>
      </c>
      <c r="R27" t="s">
        <v>1055</v>
      </c>
    </row>
    <row r="28" spans="1:18" x14ac:dyDescent="0.25">
      <c r="A28" s="33">
        <v>46042</v>
      </c>
      <c r="B28" s="1">
        <v>44702001</v>
      </c>
      <c r="C28" s="2" t="s">
        <v>1147</v>
      </c>
      <c r="D28" s="34">
        <v>-3000</v>
      </c>
      <c r="E28" s="22" t="s">
        <v>20</v>
      </c>
      <c r="F28" s="2" t="e">
        <f>VLOOKUP(Tabla3[[#This Row],[CONTABLE]],'SAPROV (2)'!L:M,2,FALSE)</f>
        <v>#N/A</v>
      </c>
      <c r="H28" t="s">
        <v>588</v>
      </c>
      <c r="I28" s="2" t="str">
        <f>VLOOKUP(Tabla3[[#This Row],[Deposito]],'SAPROV (2)'!D:E,2,FALSE)</f>
        <v>A01</v>
      </c>
      <c r="K28" s="23" t="s">
        <v>23</v>
      </c>
      <c r="L28" s="2" t="str">
        <f>VLOOKUP(Tabla3[[#This Row],[PROVEEDOR]],'SAPROV (2)'!A:B,2,FALSE)</f>
        <v>04</v>
      </c>
      <c r="M28" t="str">
        <f>VLOOKUP(Tabla3[[#This Row],[SERVICIO]],'SAPROV (2)'!I:J,2,FALSE)</f>
        <v>SERV0060</v>
      </c>
      <c r="N28" t="s">
        <v>611</v>
      </c>
      <c r="P28">
        <f>VLOOKUP(Tabla3[[#This Row],[FECHA]],TASA[],2,FALSE)</f>
        <v>344.51</v>
      </c>
      <c r="Q28" s="32">
        <f t="shared" si="2"/>
        <v>-8.7080200864996673</v>
      </c>
      <c r="R28" t="s">
        <v>1055</v>
      </c>
    </row>
    <row r="29" spans="1:18" x14ac:dyDescent="0.25">
      <c r="A29" s="33">
        <v>46042</v>
      </c>
      <c r="B29" s="1">
        <v>44702001</v>
      </c>
      <c r="C29" s="2" t="s">
        <v>1147</v>
      </c>
      <c r="D29" s="34">
        <v>-3000</v>
      </c>
      <c r="E29" s="22" t="s">
        <v>20</v>
      </c>
      <c r="F29" s="2" t="e">
        <f>VLOOKUP(Tabla3[[#This Row],[CONTABLE]],'SAPROV (2)'!L:M,2,FALSE)</f>
        <v>#N/A</v>
      </c>
      <c r="H29" t="s">
        <v>588</v>
      </c>
      <c r="I29" s="2" t="str">
        <f>VLOOKUP(Tabla3[[#This Row],[Deposito]],'SAPROV (2)'!D:E,2,FALSE)</f>
        <v>A01</v>
      </c>
      <c r="K29" s="23" t="s">
        <v>23</v>
      </c>
      <c r="L29" s="23" t="str">
        <f>VLOOKUP(Tabla3[[#This Row],[PROVEEDOR]],'SAPROV (2)'!A:B,2,FALSE)</f>
        <v>04</v>
      </c>
      <c r="M29" t="str">
        <f>VLOOKUP(Tabla3[[#This Row],[SERVICIO]],'SAPROV (2)'!I:J,2,FALSE)</f>
        <v>SERV0060</v>
      </c>
      <c r="N29" t="s">
        <v>611</v>
      </c>
      <c r="P29">
        <f>VLOOKUP(Tabla3[[#This Row],[FECHA]],TASA[],2,FALSE)</f>
        <v>344.51</v>
      </c>
      <c r="Q29" s="32">
        <f t="shared" si="2"/>
        <v>-8.7080200864996673</v>
      </c>
      <c r="R29" t="s">
        <v>1055</v>
      </c>
    </row>
    <row r="30" spans="1:18" x14ac:dyDescent="0.25">
      <c r="A30" s="33">
        <v>46042</v>
      </c>
      <c r="B30" s="1">
        <v>44702001</v>
      </c>
      <c r="C30" s="2" t="s">
        <v>1147</v>
      </c>
      <c r="D30" s="34">
        <v>-3000</v>
      </c>
      <c r="E30" s="22" t="s">
        <v>20</v>
      </c>
      <c r="F30" s="2" t="e">
        <f>VLOOKUP(Tabla3[[#This Row],[CONTABLE]],'SAPROV (2)'!L:M,2,FALSE)</f>
        <v>#N/A</v>
      </c>
      <c r="H30" t="s">
        <v>588</v>
      </c>
      <c r="I30" s="2" t="str">
        <f>VLOOKUP(Tabla3[[#This Row],[Deposito]],'SAPROV (2)'!D:E,2,FALSE)</f>
        <v>A01</v>
      </c>
      <c r="K30" s="23" t="s">
        <v>23</v>
      </c>
      <c r="L30" s="23" t="str">
        <f>VLOOKUP(Tabla3[[#This Row],[PROVEEDOR]],'SAPROV (2)'!A:B,2,FALSE)</f>
        <v>04</v>
      </c>
      <c r="M30" t="str">
        <f>VLOOKUP(Tabla3[[#This Row],[SERVICIO]],'SAPROV (2)'!I:J,2,FALSE)</f>
        <v>SERV0060</v>
      </c>
      <c r="N30" t="s">
        <v>611</v>
      </c>
      <c r="P30">
        <f>VLOOKUP(Tabla3[[#This Row],[FECHA]],TASA[],2,FALSE)</f>
        <v>344.51</v>
      </c>
      <c r="Q30" s="32">
        <f t="shared" si="2"/>
        <v>-8.7080200864996673</v>
      </c>
      <c r="R30" t="s">
        <v>1055</v>
      </c>
    </row>
    <row r="31" spans="1:18" x14ac:dyDescent="0.25">
      <c r="A31" s="33">
        <v>46042</v>
      </c>
      <c r="B31" s="1">
        <v>44702001</v>
      </c>
      <c r="C31" s="2" t="s">
        <v>1147</v>
      </c>
      <c r="D31" s="34">
        <v>-3000</v>
      </c>
      <c r="E31" s="22" t="s">
        <v>20</v>
      </c>
      <c r="F31" s="2" t="e">
        <f>VLOOKUP(Tabla3[[#This Row],[CONTABLE]],'SAPROV (2)'!L:M,2,FALSE)</f>
        <v>#N/A</v>
      </c>
      <c r="H31" t="s">
        <v>588</v>
      </c>
      <c r="I31" s="2" t="str">
        <f>VLOOKUP(Tabla3[[#This Row],[Deposito]],'SAPROV (2)'!D:E,2,FALSE)</f>
        <v>A01</v>
      </c>
      <c r="K31" s="23" t="s">
        <v>23</v>
      </c>
      <c r="L31" s="2" t="str">
        <f>VLOOKUP(Tabla3[[#This Row],[PROVEEDOR]],'SAPROV (2)'!A:B,2,FALSE)</f>
        <v>04</v>
      </c>
      <c r="M31" t="str">
        <f>VLOOKUP(Tabla3[[#This Row],[SERVICIO]],'SAPROV (2)'!I:J,2,FALSE)</f>
        <v>SERV0060</v>
      </c>
      <c r="N31" t="s">
        <v>611</v>
      </c>
      <c r="P31">
        <f>VLOOKUP(Tabla3[[#This Row],[FECHA]],TASA[],2,FALSE)</f>
        <v>344.51</v>
      </c>
      <c r="Q31" s="32">
        <f t="shared" si="2"/>
        <v>-8.7080200864996673</v>
      </c>
      <c r="R31" t="s">
        <v>1055</v>
      </c>
    </row>
    <row r="32" spans="1:18" x14ac:dyDescent="0.25">
      <c r="A32" s="33">
        <v>46042</v>
      </c>
      <c r="B32" s="1">
        <v>44702001</v>
      </c>
      <c r="C32" s="2" t="s">
        <v>1147</v>
      </c>
      <c r="D32" s="34">
        <v>-3000</v>
      </c>
      <c r="E32" s="22" t="s">
        <v>20</v>
      </c>
      <c r="F32" s="2" t="e">
        <f>VLOOKUP(Tabla3[[#This Row],[CONTABLE]],'SAPROV (2)'!L:M,2,FALSE)</f>
        <v>#N/A</v>
      </c>
      <c r="H32" t="s">
        <v>588</v>
      </c>
      <c r="I32" s="2" t="str">
        <f>VLOOKUP(Tabla3[[#This Row],[Deposito]],'SAPROV (2)'!D:E,2,FALSE)</f>
        <v>A01</v>
      </c>
      <c r="K32" s="23" t="s">
        <v>23</v>
      </c>
      <c r="L32" s="23" t="str">
        <f>VLOOKUP(Tabla3[[#This Row],[PROVEEDOR]],'SAPROV (2)'!A:B,2,FALSE)</f>
        <v>04</v>
      </c>
      <c r="M32" t="str">
        <f>VLOOKUP(Tabla3[[#This Row],[SERVICIO]],'SAPROV (2)'!I:J,2,FALSE)</f>
        <v>SERV0060</v>
      </c>
      <c r="N32" t="s">
        <v>611</v>
      </c>
      <c r="P32">
        <f>VLOOKUP(Tabla3[[#This Row],[FECHA]],TASA[],2,FALSE)</f>
        <v>344.51</v>
      </c>
      <c r="Q32" s="32">
        <f t="shared" si="2"/>
        <v>-8.7080200864996673</v>
      </c>
      <c r="R32" t="s">
        <v>1055</v>
      </c>
    </row>
    <row r="33" spans="1:18" x14ac:dyDescent="0.25">
      <c r="A33" s="33">
        <v>46042</v>
      </c>
      <c r="B33" s="1">
        <v>44702001</v>
      </c>
      <c r="C33" s="2" t="s">
        <v>1147</v>
      </c>
      <c r="D33" s="34">
        <v>-3000</v>
      </c>
      <c r="E33" s="22" t="s">
        <v>20</v>
      </c>
      <c r="F33" s="2" t="e">
        <f>VLOOKUP(Tabla3[[#This Row],[CONTABLE]],'SAPROV (2)'!L:M,2,FALSE)</f>
        <v>#N/A</v>
      </c>
      <c r="H33" t="s">
        <v>588</v>
      </c>
      <c r="I33" s="2" t="str">
        <f>VLOOKUP(Tabla3[[#This Row],[Deposito]],'SAPROV (2)'!D:E,2,FALSE)</f>
        <v>A01</v>
      </c>
      <c r="K33" s="23" t="s">
        <v>23</v>
      </c>
      <c r="L33" s="23" t="str">
        <f>VLOOKUP(Tabla3[[#This Row],[PROVEEDOR]],'SAPROV (2)'!A:B,2,FALSE)</f>
        <v>04</v>
      </c>
      <c r="M33" t="str">
        <f>VLOOKUP(Tabla3[[#This Row],[SERVICIO]],'SAPROV (2)'!I:J,2,FALSE)</f>
        <v>SERV0060</v>
      </c>
      <c r="N33" t="s">
        <v>611</v>
      </c>
      <c r="P33">
        <f>VLOOKUP(Tabla3[[#This Row],[FECHA]],TASA[],2,FALSE)</f>
        <v>344.51</v>
      </c>
      <c r="Q33" s="32">
        <f t="shared" si="2"/>
        <v>-8.7080200864996673</v>
      </c>
      <c r="R33" t="s">
        <v>1055</v>
      </c>
    </row>
    <row r="34" spans="1:18" x14ac:dyDescent="0.25">
      <c r="A34" s="33">
        <v>46042</v>
      </c>
      <c r="B34" s="1">
        <v>44702001</v>
      </c>
      <c r="C34" s="2" t="s">
        <v>1147</v>
      </c>
      <c r="D34" s="34">
        <v>-3000</v>
      </c>
      <c r="E34" s="22" t="s">
        <v>20</v>
      </c>
      <c r="F34" s="2" t="e">
        <f>VLOOKUP(Tabla3[[#This Row],[CONTABLE]],'SAPROV (2)'!L:M,2,FALSE)</f>
        <v>#N/A</v>
      </c>
      <c r="H34" t="s">
        <v>588</v>
      </c>
      <c r="I34" s="2" t="str">
        <f>VLOOKUP(Tabla3[[#This Row],[Deposito]],'SAPROV (2)'!D:E,2,FALSE)</f>
        <v>A01</v>
      </c>
      <c r="K34" s="23" t="s">
        <v>23</v>
      </c>
      <c r="L34" s="2" t="str">
        <f>VLOOKUP(Tabla3[[#This Row],[PROVEEDOR]],'SAPROV (2)'!A:B,2,FALSE)</f>
        <v>04</v>
      </c>
      <c r="M34" t="str">
        <f>VLOOKUP(Tabla3[[#This Row],[SERVICIO]],'SAPROV (2)'!I:J,2,FALSE)</f>
        <v>SERV0060</v>
      </c>
      <c r="N34" t="s">
        <v>611</v>
      </c>
      <c r="P34">
        <f>VLOOKUP(Tabla3[[#This Row],[FECHA]],TASA[],2,FALSE)</f>
        <v>344.51</v>
      </c>
      <c r="Q34" s="32">
        <f t="shared" si="2"/>
        <v>-8.7080200864996673</v>
      </c>
      <c r="R34" t="s">
        <v>1055</v>
      </c>
    </row>
    <row r="35" spans="1:18" x14ac:dyDescent="0.25">
      <c r="A35" s="33">
        <v>46042</v>
      </c>
      <c r="B35" s="1">
        <v>44702001</v>
      </c>
      <c r="C35" s="2" t="s">
        <v>1147</v>
      </c>
      <c r="D35" s="34">
        <v>-3000</v>
      </c>
      <c r="E35" s="22" t="s">
        <v>20</v>
      </c>
      <c r="F35" s="2" t="e">
        <f>VLOOKUP(Tabla3[[#This Row],[CONTABLE]],'SAPROV (2)'!L:M,2,FALSE)</f>
        <v>#N/A</v>
      </c>
      <c r="H35" t="s">
        <v>588</v>
      </c>
      <c r="I35" s="2" t="str">
        <f>VLOOKUP(Tabla3[[#This Row],[Deposito]],'SAPROV (2)'!D:E,2,FALSE)</f>
        <v>A01</v>
      </c>
      <c r="K35" s="23" t="s">
        <v>23</v>
      </c>
      <c r="L35" s="23" t="str">
        <f>VLOOKUP(Tabla3[[#This Row],[PROVEEDOR]],'SAPROV (2)'!A:B,2,FALSE)</f>
        <v>04</v>
      </c>
      <c r="M35" t="str">
        <f>VLOOKUP(Tabla3[[#This Row],[SERVICIO]],'SAPROV (2)'!I:J,2,FALSE)</f>
        <v>SERV0060</v>
      </c>
      <c r="N35" t="s">
        <v>611</v>
      </c>
      <c r="P35">
        <f>VLOOKUP(Tabla3[[#This Row],[FECHA]],TASA[],2,FALSE)</f>
        <v>344.51</v>
      </c>
      <c r="Q35" s="32">
        <f t="shared" si="2"/>
        <v>-8.7080200864996673</v>
      </c>
      <c r="R35" t="s">
        <v>1055</v>
      </c>
    </row>
    <row r="36" spans="1:18" x14ac:dyDescent="0.25">
      <c r="A36" s="33">
        <v>46042</v>
      </c>
      <c r="B36" s="1">
        <v>44702001</v>
      </c>
      <c r="C36" s="2" t="s">
        <v>1147</v>
      </c>
      <c r="D36" s="34">
        <v>-3000</v>
      </c>
      <c r="E36" s="22" t="s">
        <v>20</v>
      </c>
      <c r="F36" s="2" t="e">
        <f>VLOOKUP(Tabla3[[#This Row],[CONTABLE]],'SAPROV (2)'!L:M,2,FALSE)</f>
        <v>#N/A</v>
      </c>
      <c r="H36" t="s">
        <v>588</v>
      </c>
      <c r="I36" s="2" t="str">
        <f>VLOOKUP(Tabla3[[#This Row],[Deposito]],'SAPROV (2)'!D:E,2,FALSE)</f>
        <v>A01</v>
      </c>
      <c r="K36" s="23" t="s">
        <v>23</v>
      </c>
      <c r="L36" s="23" t="str">
        <f>VLOOKUP(Tabla3[[#This Row],[PROVEEDOR]],'SAPROV (2)'!A:B,2,FALSE)</f>
        <v>04</v>
      </c>
      <c r="M36" t="str">
        <f>VLOOKUP(Tabla3[[#This Row],[SERVICIO]],'SAPROV (2)'!I:J,2,FALSE)</f>
        <v>SERV0060</v>
      </c>
      <c r="N36" t="s">
        <v>611</v>
      </c>
      <c r="P36">
        <f>VLOOKUP(Tabla3[[#This Row],[FECHA]],TASA[],2,FALSE)</f>
        <v>344.51</v>
      </c>
      <c r="Q36" s="32">
        <f t="shared" si="2"/>
        <v>-8.7080200864996673</v>
      </c>
      <c r="R36" t="s">
        <v>1055</v>
      </c>
    </row>
    <row r="37" spans="1:18" x14ac:dyDescent="0.25">
      <c r="A37" s="33">
        <v>46042</v>
      </c>
      <c r="B37" s="1">
        <v>44702001</v>
      </c>
      <c r="C37" s="2" t="s">
        <v>1147</v>
      </c>
      <c r="D37" s="34">
        <v>-3000</v>
      </c>
      <c r="E37" s="22" t="s">
        <v>20</v>
      </c>
      <c r="F37" s="2" t="e">
        <f>VLOOKUP(Tabla3[[#This Row],[CONTABLE]],'SAPROV (2)'!L:M,2,FALSE)</f>
        <v>#N/A</v>
      </c>
      <c r="H37" t="s">
        <v>588</v>
      </c>
      <c r="I37" s="2" t="str">
        <f>VLOOKUP(Tabla3[[#This Row],[Deposito]],'SAPROV (2)'!D:E,2,FALSE)</f>
        <v>A01</v>
      </c>
      <c r="K37" s="23" t="s">
        <v>23</v>
      </c>
      <c r="L37" s="2" t="str">
        <f>VLOOKUP(Tabla3[[#This Row],[PROVEEDOR]],'SAPROV (2)'!A:B,2,FALSE)</f>
        <v>04</v>
      </c>
      <c r="M37" t="str">
        <f>VLOOKUP(Tabla3[[#This Row],[SERVICIO]],'SAPROV (2)'!I:J,2,FALSE)</f>
        <v>SERV0060</v>
      </c>
      <c r="N37" t="s">
        <v>611</v>
      </c>
      <c r="P37">
        <f>VLOOKUP(Tabla3[[#This Row],[FECHA]],TASA[],2,FALSE)</f>
        <v>344.51</v>
      </c>
      <c r="Q37" s="32">
        <f t="shared" si="2"/>
        <v>-8.7080200864996673</v>
      </c>
      <c r="R37" t="s">
        <v>1055</v>
      </c>
    </row>
    <row r="38" spans="1:18" x14ac:dyDescent="0.25">
      <c r="A38" s="33">
        <v>46042</v>
      </c>
      <c r="B38" s="1">
        <v>44702001</v>
      </c>
      <c r="C38" s="2" t="s">
        <v>1147</v>
      </c>
      <c r="D38" s="34">
        <v>-3000</v>
      </c>
      <c r="E38" s="22" t="s">
        <v>20</v>
      </c>
      <c r="F38" s="2" t="e">
        <f>VLOOKUP(Tabla3[[#This Row],[CONTABLE]],'SAPROV (2)'!L:M,2,FALSE)</f>
        <v>#N/A</v>
      </c>
      <c r="H38" t="s">
        <v>588</v>
      </c>
      <c r="I38" s="2" t="str">
        <f>VLOOKUP(Tabla3[[#This Row],[Deposito]],'SAPROV (2)'!D:E,2,FALSE)</f>
        <v>A01</v>
      </c>
      <c r="K38" s="23" t="s">
        <v>23</v>
      </c>
      <c r="L38" s="23" t="str">
        <f>VLOOKUP(Tabla3[[#This Row],[PROVEEDOR]],'SAPROV (2)'!A:B,2,FALSE)</f>
        <v>04</v>
      </c>
      <c r="M38" t="str">
        <f>VLOOKUP(Tabla3[[#This Row],[SERVICIO]],'SAPROV (2)'!I:J,2,FALSE)</f>
        <v>SERV0060</v>
      </c>
      <c r="N38" t="s">
        <v>611</v>
      </c>
      <c r="P38">
        <f>VLOOKUP(Tabla3[[#This Row],[FECHA]],TASA[],2,FALSE)</f>
        <v>344.51</v>
      </c>
      <c r="Q38" s="32">
        <f t="shared" si="2"/>
        <v>-8.7080200864996673</v>
      </c>
      <c r="R38" t="s">
        <v>1055</v>
      </c>
    </row>
    <row r="39" spans="1:18" x14ac:dyDescent="0.25">
      <c r="A39" s="33">
        <v>46042</v>
      </c>
      <c r="B39" s="1">
        <v>44702001</v>
      </c>
      <c r="C39" s="2" t="s">
        <v>1147</v>
      </c>
      <c r="D39" s="34">
        <v>-3000</v>
      </c>
      <c r="E39" s="22" t="s">
        <v>20</v>
      </c>
      <c r="F39" s="2" t="e">
        <f>VLOOKUP(Tabla3[[#This Row],[CONTABLE]],'SAPROV (2)'!L:M,2,FALSE)</f>
        <v>#N/A</v>
      </c>
      <c r="H39" t="s">
        <v>588</v>
      </c>
      <c r="I39" s="2" t="str">
        <f>VLOOKUP(Tabla3[[#This Row],[Deposito]],'SAPROV (2)'!D:E,2,FALSE)</f>
        <v>A01</v>
      </c>
      <c r="K39" s="23" t="s">
        <v>23</v>
      </c>
      <c r="L39" s="23" t="str">
        <f>VLOOKUP(Tabla3[[#This Row],[PROVEEDOR]],'SAPROV (2)'!A:B,2,FALSE)</f>
        <v>04</v>
      </c>
      <c r="M39" t="str">
        <f>VLOOKUP(Tabla3[[#This Row],[SERVICIO]],'SAPROV (2)'!I:J,2,FALSE)</f>
        <v>SERV0060</v>
      </c>
      <c r="N39" t="s">
        <v>611</v>
      </c>
      <c r="P39">
        <f>VLOOKUP(Tabla3[[#This Row],[FECHA]],TASA[],2,FALSE)</f>
        <v>344.51</v>
      </c>
      <c r="Q39" s="32">
        <f t="shared" si="2"/>
        <v>-8.7080200864996673</v>
      </c>
      <c r="R39" t="s">
        <v>1055</v>
      </c>
    </row>
    <row r="40" spans="1:18" x14ac:dyDescent="0.25">
      <c r="A40" s="33">
        <v>46042</v>
      </c>
      <c r="B40" s="1">
        <v>44702001</v>
      </c>
      <c r="C40" s="2" t="s">
        <v>1147</v>
      </c>
      <c r="D40" s="34">
        <v>-3000</v>
      </c>
      <c r="E40" s="22" t="s">
        <v>20</v>
      </c>
      <c r="F40" s="2" t="e">
        <f>VLOOKUP(Tabla3[[#This Row],[CONTABLE]],'SAPROV (2)'!L:M,2,FALSE)</f>
        <v>#N/A</v>
      </c>
      <c r="H40" t="s">
        <v>588</v>
      </c>
      <c r="I40" s="2" t="str">
        <f>VLOOKUP(Tabla3[[#This Row],[Deposito]],'SAPROV (2)'!D:E,2,FALSE)</f>
        <v>A01</v>
      </c>
      <c r="K40" s="23" t="s">
        <v>23</v>
      </c>
      <c r="L40" s="2" t="str">
        <f>VLOOKUP(Tabla3[[#This Row],[PROVEEDOR]],'SAPROV (2)'!A:B,2,FALSE)</f>
        <v>04</v>
      </c>
      <c r="M40" t="str">
        <f>VLOOKUP(Tabla3[[#This Row],[SERVICIO]],'SAPROV (2)'!I:J,2,FALSE)</f>
        <v>SERV0060</v>
      </c>
      <c r="N40" t="s">
        <v>611</v>
      </c>
      <c r="P40">
        <f>VLOOKUP(Tabla3[[#This Row],[FECHA]],TASA[],2,FALSE)</f>
        <v>344.51</v>
      </c>
      <c r="Q40" s="32">
        <f t="shared" si="2"/>
        <v>-8.7080200864996673</v>
      </c>
      <c r="R40" t="s">
        <v>1055</v>
      </c>
    </row>
    <row r="41" spans="1:18" x14ac:dyDescent="0.25">
      <c r="A41" s="33">
        <v>46042</v>
      </c>
      <c r="B41" s="1">
        <v>44702001</v>
      </c>
      <c r="C41" s="2" t="s">
        <v>1147</v>
      </c>
      <c r="D41" s="34">
        <v>-3000</v>
      </c>
      <c r="E41" s="22" t="s">
        <v>20</v>
      </c>
      <c r="F41" s="2" t="e">
        <f>VLOOKUP(Tabla3[[#This Row],[CONTABLE]],'SAPROV (2)'!L:M,2,FALSE)</f>
        <v>#N/A</v>
      </c>
      <c r="H41" t="s">
        <v>588</v>
      </c>
      <c r="I41" s="2" t="str">
        <f>VLOOKUP(Tabla3[[#This Row],[Deposito]],'SAPROV (2)'!D:E,2,FALSE)</f>
        <v>A01</v>
      </c>
      <c r="K41" s="23" t="s">
        <v>23</v>
      </c>
      <c r="L41" s="23" t="str">
        <f>VLOOKUP(Tabla3[[#This Row],[PROVEEDOR]],'SAPROV (2)'!A:B,2,FALSE)</f>
        <v>04</v>
      </c>
      <c r="M41" t="str">
        <f>VLOOKUP(Tabla3[[#This Row],[SERVICIO]],'SAPROV (2)'!I:J,2,FALSE)</f>
        <v>SERV0060</v>
      </c>
      <c r="N41" t="s">
        <v>611</v>
      </c>
      <c r="P41">
        <f>VLOOKUP(Tabla3[[#This Row],[FECHA]],TASA[],2,FALSE)</f>
        <v>344.51</v>
      </c>
      <c r="Q41" s="32">
        <f t="shared" si="2"/>
        <v>-8.7080200864996673</v>
      </c>
      <c r="R41" t="s">
        <v>1055</v>
      </c>
    </row>
    <row r="42" spans="1:18" x14ac:dyDescent="0.25">
      <c r="A42" s="33">
        <v>46042</v>
      </c>
      <c r="B42" s="1">
        <v>44702001</v>
      </c>
      <c r="C42" s="2" t="s">
        <v>1147</v>
      </c>
      <c r="D42" s="34">
        <v>-3000</v>
      </c>
      <c r="E42" s="22" t="s">
        <v>20</v>
      </c>
      <c r="F42" s="2" t="e">
        <f>VLOOKUP(Tabla3[[#This Row],[CONTABLE]],'SAPROV (2)'!L:M,2,FALSE)</f>
        <v>#N/A</v>
      </c>
      <c r="H42" t="s">
        <v>588</v>
      </c>
      <c r="I42" s="2" t="str">
        <f>VLOOKUP(Tabla3[[#This Row],[Deposito]],'SAPROV (2)'!D:E,2,FALSE)</f>
        <v>A01</v>
      </c>
      <c r="K42" s="23" t="s">
        <v>23</v>
      </c>
      <c r="L42" s="23" t="str">
        <f>VLOOKUP(Tabla3[[#This Row],[PROVEEDOR]],'SAPROV (2)'!A:B,2,FALSE)</f>
        <v>04</v>
      </c>
      <c r="M42" t="str">
        <f>VLOOKUP(Tabla3[[#This Row],[SERVICIO]],'SAPROV (2)'!I:J,2,FALSE)</f>
        <v>SERV0060</v>
      </c>
      <c r="N42" t="s">
        <v>611</v>
      </c>
      <c r="P42">
        <f>VLOOKUP(Tabla3[[#This Row],[FECHA]],TASA[],2,FALSE)</f>
        <v>344.51</v>
      </c>
      <c r="Q42" s="32">
        <f t="shared" si="2"/>
        <v>-8.7080200864996673</v>
      </c>
      <c r="R42" t="s">
        <v>1055</v>
      </c>
    </row>
    <row r="43" spans="1:18" x14ac:dyDescent="0.25">
      <c r="A43" s="33">
        <v>46042</v>
      </c>
      <c r="B43" s="1">
        <v>44702001</v>
      </c>
      <c r="C43" s="2" t="s">
        <v>1147</v>
      </c>
      <c r="D43" s="34">
        <v>-3000</v>
      </c>
      <c r="E43" s="22" t="s">
        <v>20</v>
      </c>
      <c r="F43" s="2" t="e">
        <f>VLOOKUP(Tabla3[[#This Row],[CONTABLE]],'SAPROV (2)'!L:M,2,FALSE)</f>
        <v>#N/A</v>
      </c>
      <c r="H43" t="s">
        <v>588</v>
      </c>
      <c r="I43" s="2" t="str">
        <f>VLOOKUP(Tabla3[[#This Row],[Deposito]],'SAPROV (2)'!D:E,2,FALSE)</f>
        <v>A01</v>
      </c>
      <c r="K43" s="23" t="s">
        <v>23</v>
      </c>
      <c r="L43" s="2" t="str">
        <f>VLOOKUP(Tabla3[[#This Row],[PROVEEDOR]],'SAPROV (2)'!A:B,2,FALSE)</f>
        <v>04</v>
      </c>
      <c r="M43" t="str">
        <f>VLOOKUP(Tabla3[[#This Row],[SERVICIO]],'SAPROV (2)'!I:J,2,FALSE)</f>
        <v>SERV0060</v>
      </c>
      <c r="N43" t="s">
        <v>611</v>
      </c>
      <c r="P43">
        <f>VLOOKUP(Tabla3[[#This Row],[FECHA]],TASA[],2,FALSE)</f>
        <v>344.51</v>
      </c>
      <c r="Q43" s="32">
        <f t="shared" si="2"/>
        <v>-8.7080200864996673</v>
      </c>
      <c r="R43" t="s">
        <v>1055</v>
      </c>
    </row>
    <row r="44" spans="1:18" x14ac:dyDescent="0.25">
      <c r="A44" s="33">
        <v>46042</v>
      </c>
      <c r="B44" s="1">
        <v>44702001</v>
      </c>
      <c r="C44" s="2" t="s">
        <v>1147</v>
      </c>
      <c r="D44" s="34">
        <v>-3000</v>
      </c>
      <c r="E44" s="22" t="s">
        <v>20</v>
      </c>
      <c r="F44" s="2" t="e">
        <f>VLOOKUP(Tabla3[[#This Row],[CONTABLE]],'SAPROV (2)'!L:M,2,FALSE)</f>
        <v>#N/A</v>
      </c>
      <c r="H44" t="s">
        <v>588</v>
      </c>
      <c r="I44" s="2" t="str">
        <f>VLOOKUP(Tabla3[[#This Row],[Deposito]],'SAPROV (2)'!D:E,2,FALSE)</f>
        <v>A01</v>
      </c>
      <c r="K44" s="23" t="s">
        <v>23</v>
      </c>
      <c r="L44" s="23" t="str">
        <f>VLOOKUP(Tabla3[[#This Row],[PROVEEDOR]],'SAPROV (2)'!A:B,2,FALSE)</f>
        <v>04</v>
      </c>
      <c r="M44" t="str">
        <f>VLOOKUP(Tabla3[[#This Row],[SERVICIO]],'SAPROV (2)'!I:J,2,FALSE)</f>
        <v>SERV0060</v>
      </c>
      <c r="N44" t="s">
        <v>611</v>
      </c>
      <c r="P44">
        <f>VLOOKUP(Tabla3[[#This Row],[FECHA]],TASA[],2,FALSE)</f>
        <v>344.51</v>
      </c>
      <c r="Q44" s="32">
        <f t="shared" si="2"/>
        <v>-8.7080200864996673</v>
      </c>
      <c r="R44" t="s">
        <v>1055</v>
      </c>
    </row>
    <row r="45" spans="1:18" x14ac:dyDescent="0.25">
      <c r="A45" s="33">
        <v>46042</v>
      </c>
      <c r="B45" s="1">
        <v>44702001</v>
      </c>
      <c r="C45" s="2" t="s">
        <v>1147</v>
      </c>
      <c r="D45" s="34">
        <v>-3000</v>
      </c>
      <c r="E45" s="22" t="s">
        <v>20</v>
      </c>
      <c r="F45" s="2" t="e">
        <f>VLOOKUP(Tabla3[[#This Row],[CONTABLE]],'SAPROV (2)'!L:M,2,FALSE)</f>
        <v>#N/A</v>
      </c>
      <c r="H45" t="s">
        <v>588</v>
      </c>
      <c r="I45" s="2" t="str">
        <f>VLOOKUP(Tabla3[[#This Row],[Deposito]],'SAPROV (2)'!D:E,2,FALSE)</f>
        <v>A01</v>
      </c>
      <c r="K45" s="23" t="s">
        <v>23</v>
      </c>
      <c r="L45" s="23" t="str">
        <f>VLOOKUP(Tabla3[[#This Row],[PROVEEDOR]],'SAPROV (2)'!A:B,2,FALSE)</f>
        <v>04</v>
      </c>
      <c r="M45" t="str">
        <f>VLOOKUP(Tabla3[[#This Row],[SERVICIO]],'SAPROV (2)'!I:J,2,FALSE)</f>
        <v>SERV0060</v>
      </c>
      <c r="N45" t="s">
        <v>611</v>
      </c>
      <c r="P45">
        <f>VLOOKUP(Tabla3[[#This Row],[FECHA]],TASA[],2,FALSE)</f>
        <v>344.51</v>
      </c>
      <c r="Q45" s="32">
        <f t="shared" si="2"/>
        <v>-8.7080200864996673</v>
      </c>
      <c r="R45" t="s">
        <v>1055</v>
      </c>
    </row>
    <row r="46" spans="1:18" x14ac:dyDescent="0.25">
      <c r="A46" s="33">
        <v>46042</v>
      </c>
      <c r="B46" s="1">
        <v>44702001</v>
      </c>
      <c r="C46" s="2" t="s">
        <v>1147</v>
      </c>
      <c r="D46" s="34">
        <v>-3000</v>
      </c>
      <c r="E46" s="22" t="s">
        <v>20</v>
      </c>
      <c r="F46" s="2" t="e">
        <f>VLOOKUP(Tabla3[[#This Row],[CONTABLE]],'SAPROV (2)'!L:M,2,FALSE)</f>
        <v>#N/A</v>
      </c>
      <c r="H46" t="s">
        <v>588</v>
      </c>
      <c r="I46" s="2" t="str">
        <f>VLOOKUP(Tabla3[[#This Row],[Deposito]],'SAPROV (2)'!D:E,2,FALSE)</f>
        <v>A01</v>
      </c>
      <c r="K46" s="23" t="s">
        <v>23</v>
      </c>
      <c r="L46" s="2" t="str">
        <f>VLOOKUP(Tabla3[[#This Row],[PROVEEDOR]],'SAPROV (2)'!A:B,2,FALSE)</f>
        <v>04</v>
      </c>
      <c r="M46" t="str">
        <f>VLOOKUP(Tabla3[[#This Row],[SERVICIO]],'SAPROV (2)'!I:J,2,FALSE)</f>
        <v>SERV0060</v>
      </c>
      <c r="N46" t="s">
        <v>611</v>
      </c>
      <c r="P46">
        <f>VLOOKUP(Tabla3[[#This Row],[FECHA]],TASA[],2,FALSE)</f>
        <v>344.51</v>
      </c>
      <c r="Q46" s="32">
        <f t="shared" si="2"/>
        <v>-8.7080200864996673</v>
      </c>
      <c r="R46" t="s">
        <v>1055</v>
      </c>
    </row>
    <row r="47" spans="1:18" x14ac:dyDescent="0.25">
      <c r="A47" s="33">
        <v>46042</v>
      </c>
      <c r="B47" s="1">
        <v>44702001</v>
      </c>
      <c r="C47" s="2" t="s">
        <v>1147</v>
      </c>
      <c r="D47" s="34">
        <v>-3000</v>
      </c>
      <c r="E47" s="22" t="s">
        <v>20</v>
      </c>
      <c r="F47" s="2" t="e">
        <f>VLOOKUP(Tabla3[[#This Row],[CONTABLE]],'SAPROV (2)'!L:M,2,FALSE)</f>
        <v>#N/A</v>
      </c>
      <c r="H47" t="s">
        <v>588</v>
      </c>
      <c r="I47" s="2" t="str">
        <f>VLOOKUP(Tabla3[[#This Row],[Deposito]],'SAPROV (2)'!D:E,2,FALSE)</f>
        <v>A01</v>
      </c>
      <c r="K47" s="23" t="s">
        <v>23</v>
      </c>
      <c r="L47" s="23" t="str">
        <f>VLOOKUP(Tabla3[[#This Row],[PROVEEDOR]],'SAPROV (2)'!A:B,2,FALSE)</f>
        <v>04</v>
      </c>
      <c r="M47" t="str">
        <f>VLOOKUP(Tabla3[[#This Row],[SERVICIO]],'SAPROV (2)'!I:J,2,FALSE)</f>
        <v>SERV0060</v>
      </c>
      <c r="N47" t="s">
        <v>611</v>
      </c>
      <c r="P47">
        <f>VLOOKUP(Tabla3[[#This Row],[FECHA]],TASA[],2,FALSE)</f>
        <v>344.51</v>
      </c>
      <c r="Q47" s="32">
        <f t="shared" si="2"/>
        <v>-8.7080200864996673</v>
      </c>
      <c r="R47" t="s">
        <v>1055</v>
      </c>
    </row>
    <row r="48" spans="1:18" x14ac:dyDescent="0.25">
      <c r="A48" s="33">
        <v>46042</v>
      </c>
      <c r="B48" s="1">
        <v>44702001</v>
      </c>
      <c r="C48" s="2" t="s">
        <v>1147</v>
      </c>
      <c r="D48" s="34">
        <v>-3000</v>
      </c>
      <c r="E48" s="22" t="s">
        <v>20</v>
      </c>
      <c r="F48" s="2" t="e">
        <f>VLOOKUP(Tabla3[[#This Row],[CONTABLE]],'SAPROV (2)'!L:M,2,FALSE)</f>
        <v>#N/A</v>
      </c>
      <c r="H48" t="s">
        <v>588</v>
      </c>
      <c r="I48" s="2" t="str">
        <f>VLOOKUP(Tabla3[[#This Row],[Deposito]],'SAPROV (2)'!D:E,2,FALSE)</f>
        <v>A01</v>
      </c>
      <c r="K48" s="23" t="s">
        <v>23</v>
      </c>
      <c r="L48" s="23" t="str">
        <f>VLOOKUP(Tabla3[[#This Row],[PROVEEDOR]],'SAPROV (2)'!A:B,2,FALSE)</f>
        <v>04</v>
      </c>
      <c r="M48" t="str">
        <f>VLOOKUP(Tabla3[[#This Row],[SERVICIO]],'SAPROV (2)'!I:J,2,FALSE)</f>
        <v>SERV0060</v>
      </c>
      <c r="N48" t="s">
        <v>611</v>
      </c>
      <c r="P48">
        <f>VLOOKUP(Tabla3[[#This Row],[FECHA]],TASA[],2,FALSE)</f>
        <v>344.51</v>
      </c>
      <c r="Q48" s="32">
        <f t="shared" si="2"/>
        <v>-8.7080200864996673</v>
      </c>
      <c r="R48" t="s">
        <v>1055</v>
      </c>
    </row>
    <row r="49" spans="1:18" x14ac:dyDescent="0.25">
      <c r="A49" s="33">
        <v>46042</v>
      </c>
      <c r="B49" s="1">
        <v>44702001</v>
      </c>
      <c r="C49" s="2" t="s">
        <v>1147</v>
      </c>
      <c r="D49" s="34">
        <v>-3000</v>
      </c>
      <c r="E49" s="22" t="s">
        <v>20</v>
      </c>
      <c r="F49" s="2" t="e">
        <f>VLOOKUP(Tabla3[[#This Row],[CONTABLE]],'SAPROV (2)'!L:M,2,FALSE)</f>
        <v>#N/A</v>
      </c>
      <c r="H49" t="s">
        <v>588</v>
      </c>
      <c r="I49" s="2" t="str">
        <f>VLOOKUP(Tabla3[[#This Row],[Deposito]],'SAPROV (2)'!D:E,2,FALSE)</f>
        <v>A01</v>
      </c>
      <c r="K49" s="23" t="s">
        <v>23</v>
      </c>
      <c r="L49" s="2" t="str">
        <f>VLOOKUP(Tabla3[[#This Row],[PROVEEDOR]],'SAPROV (2)'!A:B,2,FALSE)</f>
        <v>04</v>
      </c>
      <c r="M49" t="str">
        <f>VLOOKUP(Tabla3[[#This Row],[SERVICIO]],'SAPROV (2)'!I:J,2,FALSE)</f>
        <v>SERV0060</v>
      </c>
      <c r="N49" t="s">
        <v>611</v>
      </c>
      <c r="P49">
        <f>VLOOKUP(Tabla3[[#This Row],[FECHA]],TASA[],2,FALSE)</f>
        <v>344.51</v>
      </c>
      <c r="Q49" s="32">
        <f t="shared" si="2"/>
        <v>-8.7080200864996673</v>
      </c>
      <c r="R49" t="s">
        <v>1055</v>
      </c>
    </row>
    <row r="50" spans="1:18" x14ac:dyDescent="0.25">
      <c r="A50" s="33">
        <v>46042</v>
      </c>
      <c r="B50" s="1">
        <v>44702001</v>
      </c>
      <c r="C50" s="2" t="s">
        <v>1147</v>
      </c>
      <c r="D50" s="34">
        <v>-3000</v>
      </c>
      <c r="E50" s="22" t="s">
        <v>20</v>
      </c>
      <c r="F50" s="2" t="e">
        <f>VLOOKUP(Tabla3[[#This Row],[CONTABLE]],'SAPROV (2)'!L:M,2,FALSE)</f>
        <v>#N/A</v>
      </c>
      <c r="H50" t="s">
        <v>588</v>
      </c>
      <c r="I50" s="2" t="str">
        <f>VLOOKUP(Tabla3[[#This Row],[Deposito]],'SAPROV (2)'!D:E,2,FALSE)</f>
        <v>A01</v>
      </c>
      <c r="K50" s="23" t="s">
        <v>23</v>
      </c>
      <c r="L50" s="23" t="str">
        <f>VLOOKUP(Tabla3[[#This Row],[PROVEEDOR]],'SAPROV (2)'!A:B,2,FALSE)</f>
        <v>04</v>
      </c>
      <c r="M50" t="str">
        <f>VLOOKUP(Tabla3[[#This Row],[SERVICIO]],'SAPROV (2)'!I:J,2,FALSE)</f>
        <v>SERV0060</v>
      </c>
      <c r="N50" t="s">
        <v>611</v>
      </c>
      <c r="P50">
        <f>VLOOKUP(Tabla3[[#This Row],[FECHA]],TASA[],2,FALSE)</f>
        <v>344.51</v>
      </c>
      <c r="Q50" s="32">
        <f t="shared" si="2"/>
        <v>-8.7080200864996673</v>
      </c>
      <c r="R50" t="s">
        <v>1055</v>
      </c>
    </row>
    <row r="51" spans="1:18" x14ac:dyDescent="0.25">
      <c r="A51" s="33">
        <v>46042</v>
      </c>
      <c r="B51" s="1">
        <v>44702001</v>
      </c>
      <c r="C51" s="2" t="s">
        <v>1147</v>
      </c>
      <c r="D51" s="34">
        <v>-3000</v>
      </c>
      <c r="E51" s="22" t="s">
        <v>20</v>
      </c>
      <c r="F51" s="2" t="e">
        <f>VLOOKUP(Tabla3[[#This Row],[CONTABLE]],'SAPROV (2)'!L:M,2,FALSE)</f>
        <v>#N/A</v>
      </c>
      <c r="H51" t="s">
        <v>588</v>
      </c>
      <c r="I51" s="2" t="str">
        <f>VLOOKUP(Tabla3[[#This Row],[Deposito]],'SAPROV (2)'!D:E,2,FALSE)</f>
        <v>A01</v>
      </c>
      <c r="K51" s="23" t="s">
        <v>23</v>
      </c>
      <c r="L51" s="23" t="str">
        <f>VLOOKUP(Tabla3[[#This Row],[PROVEEDOR]],'SAPROV (2)'!A:B,2,FALSE)</f>
        <v>04</v>
      </c>
      <c r="M51" t="str">
        <f>VLOOKUP(Tabla3[[#This Row],[SERVICIO]],'SAPROV (2)'!I:J,2,FALSE)</f>
        <v>SERV0060</v>
      </c>
      <c r="N51" t="s">
        <v>611</v>
      </c>
      <c r="P51">
        <f>VLOOKUP(Tabla3[[#This Row],[FECHA]],TASA[],2,FALSE)</f>
        <v>344.51</v>
      </c>
      <c r="Q51" s="32">
        <f t="shared" si="2"/>
        <v>-8.7080200864996673</v>
      </c>
      <c r="R51" t="s">
        <v>1055</v>
      </c>
    </row>
    <row r="52" spans="1:18" x14ac:dyDescent="0.25">
      <c r="A52" s="33">
        <v>46042</v>
      </c>
      <c r="B52" s="1">
        <v>44702001</v>
      </c>
      <c r="C52" s="2" t="s">
        <v>1147</v>
      </c>
      <c r="D52" s="34">
        <v>-3000</v>
      </c>
      <c r="E52" s="22" t="s">
        <v>20</v>
      </c>
      <c r="F52" s="2" t="e">
        <f>VLOOKUP(Tabla3[[#This Row],[CONTABLE]],'SAPROV (2)'!L:M,2,FALSE)</f>
        <v>#N/A</v>
      </c>
      <c r="H52" t="s">
        <v>588</v>
      </c>
      <c r="I52" s="2" t="str">
        <f>VLOOKUP(Tabla3[[#This Row],[Deposito]],'SAPROV (2)'!D:E,2,FALSE)</f>
        <v>A01</v>
      </c>
      <c r="K52" s="23" t="s">
        <v>23</v>
      </c>
      <c r="L52" s="2" t="str">
        <f>VLOOKUP(Tabla3[[#This Row],[PROVEEDOR]],'SAPROV (2)'!A:B,2,FALSE)</f>
        <v>04</v>
      </c>
      <c r="M52" t="str">
        <f>VLOOKUP(Tabla3[[#This Row],[SERVICIO]],'SAPROV (2)'!I:J,2,FALSE)</f>
        <v>SERV0060</v>
      </c>
      <c r="N52" t="s">
        <v>611</v>
      </c>
      <c r="P52">
        <f>VLOOKUP(Tabla3[[#This Row],[FECHA]],TASA[],2,FALSE)</f>
        <v>344.51</v>
      </c>
      <c r="Q52" s="32">
        <f t="shared" si="2"/>
        <v>-8.7080200864996673</v>
      </c>
      <c r="R52" t="s">
        <v>1055</v>
      </c>
    </row>
    <row r="53" spans="1:18" x14ac:dyDescent="0.25">
      <c r="A53" s="33">
        <v>46042</v>
      </c>
      <c r="B53" s="1">
        <v>44702001</v>
      </c>
      <c r="C53" s="2" t="s">
        <v>1147</v>
      </c>
      <c r="D53" s="34">
        <v>-3000</v>
      </c>
      <c r="E53" s="22" t="s">
        <v>20</v>
      </c>
      <c r="F53" s="2" t="e">
        <f>VLOOKUP(Tabla3[[#This Row],[CONTABLE]],'SAPROV (2)'!L:M,2,FALSE)</f>
        <v>#N/A</v>
      </c>
      <c r="H53" t="s">
        <v>588</v>
      </c>
      <c r="I53" s="2" t="str">
        <f>VLOOKUP(Tabla3[[#This Row],[Deposito]],'SAPROV (2)'!D:E,2,FALSE)</f>
        <v>A01</v>
      </c>
      <c r="K53" s="23" t="s">
        <v>23</v>
      </c>
      <c r="L53" s="23" t="str">
        <f>VLOOKUP(Tabla3[[#This Row],[PROVEEDOR]],'SAPROV (2)'!A:B,2,FALSE)</f>
        <v>04</v>
      </c>
      <c r="M53" t="str">
        <f>VLOOKUP(Tabla3[[#This Row],[SERVICIO]],'SAPROV (2)'!I:J,2,FALSE)</f>
        <v>SERV0060</v>
      </c>
      <c r="N53" t="s">
        <v>611</v>
      </c>
      <c r="P53">
        <f>VLOOKUP(Tabla3[[#This Row],[FECHA]],TASA[],2,FALSE)</f>
        <v>344.51</v>
      </c>
      <c r="Q53" s="32">
        <f t="shared" si="2"/>
        <v>-8.7080200864996673</v>
      </c>
      <c r="R53" t="s">
        <v>1055</v>
      </c>
    </row>
    <row r="54" spans="1:18" x14ac:dyDescent="0.25">
      <c r="A54" s="33">
        <v>46042</v>
      </c>
      <c r="B54" s="1">
        <v>44702001</v>
      </c>
      <c r="C54" s="2" t="s">
        <v>1147</v>
      </c>
      <c r="D54" s="34">
        <v>-3000</v>
      </c>
      <c r="E54" s="22" t="s">
        <v>20</v>
      </c>
      <c r="F54" s="2" t="e">
        <f>VLOOKUP(Tabla3[[#This Row],[CONTABLE]],'SAPROV (2)'!L:M,2,FALSE)</f>
        <v>#N/A</v>
      </c>
      <c r="H54" t="s">
        <v>588</v>
      </c>
      <c r="I54" s="2" t="str">
        <f>VLOOKUP(Tabla3[[#This Row],[Deposito]],'SAPROV (2)'!D:E,2,FALSE)</f>
        <v>A01</v>
      </c>
      <c r="K54" s="23" t="s">
        <v>23</v>
      </c>
      <c r="L54" s="23" t="str">
        <f>VLOOKUP(Tabla3[[#This Row],[PROVEEDOR]],'SAPROV (2)'!A:B,2,FALSE)</f>
        <v>04</v>
      </c>
      <c r="M54" t="str">
        <f>VLOOKUP(Tabla3[[#This Row],[SERVICIO]],'SAPROV (2)'!I:J,2,FALSE)</f>
        <v>SERV0060</v>
      </c>
      <c r="N54" t="s">
        <v>611</v>
      </c>
      <c r="P54">
        <f>VLOOKUP(Tabla3[[#This Row],[FECHA]],TASA[],2,FALSE)</f>
        <v>344.51</v>
      </c>
      <c r="Q54" s="32">
        <f t="shared" si="2"/>
        <v>-8.7080200864996673</v>
      </c>
      <c r="R54" t="s">
        <v>1055</v>
      </c>
    </row>
    <row r="55" spans="1:18" x14ac:dyDescent="0.25">
      <c r="A55" s="33">
        <v>46042</v>
      </c>
      <c r="B55" s="1">
        <v>44702001</v>
      </c>
      <c r="C55" s="2" t="s">
        <v>1147</v>
      </c>
      <c r="D55" s="34">
        <v>-3000</v>
      </c>
      <c r="E55" s="22" t="s">
        <v>20</v>
      </c>
      <c r="F55" s="2" t="e">
        <f>VLOOKUP(Tabla3[[#This Row],[CONTABLE]],'SAPROV (2)'!L:M,2,FALSE)</f>
        <v>#N/A</v>
      </c>
      <c r="H55" t="s">
        <v>588</v>
      </c>
      <c r="I55" s="2" t="str">
        <f>VLOOKUP(Tabla3[[#This Row],[Deposito]],'SAPROV (2)'!D:E,2,FALSE)</f>
        <v>A01</v>
      </c>
      <c r="K55" s="23" t="s">
        <v>23</v>
      </c>
      <c r="L55" s="2" t="str">
        <f>VLOOKUP(Tabla3[[#This Row],[PROVEEDOR]],'SAPROV (2)'!A:B,2,FALSE)</f>
        <v>04</v>
      </c>
      <c r="M55" t="str">
        <f>VLOOKUP(Tabla3[[#This Row],[SERVICIO]],'SAPROV (2)'!I:J,2,FALSE)</f>
        <v>SERV0060</v>
      </c>
      <c r="N55" t="s">
        <v>611</v>
      </c>
      <c r="P55">
        <f>VLOOKUP(Tabla3[[#This Row],[FECHA]],TASA[],2,FALSE)</f>
        <v>344.51</v>
      </c>
      <c r="Q55" s="32">
        <f t="shared" si="2"/>
        <v>-8.7080200864996673</v>
      </c>
      <c r="R55" t="s">
        <v>1055</v>
      </c>
    </row>
    <row r="56" spans="1:18" x14ac:dyDescent="0.25">
      <c r="A56" s="33">
        <v>46042</v>
      </c>
      <c r="B56" s="1">
        <v>44702001</v>
      </c>
      <c r="C56" s="2" t="s">
        <v>1147</v>
      </c>
      <c r="D56" s="34">
        <v>-3000</v>
      </c>
      <c r="E56" s="22" t="s">
        <v>20</v>
      </c>
      <c r="F56" s="2" t="e">
        <f>VLOOKUP(Tabla3[[#This Row],[CONTABLE]],'SAPROV (2)'!L:M,2,FALSE)</f>
        <v>#N/A</v>
      </c>
      <c r="H56" t="s">
        <v>588</v>
      </c>
      <c r="I56" s="2" t="str">
        <f>VLOOKUP(Tabla3[[#This Row],[Deposito]],'SAPROV (2)'!D:E,2,FALSE)</f>
        <v>A01</v>
      </c>
      <c r="K56" s="23" t="s">
        <v>23</v>
      </c>
      <c r="L56" s="23" t="str">
        <f>VLOOKUP(Tabla3[[#This Row],[PROVEEDOR]],'SAPROV (2)'!A:B,2,FALSE)</f>
        <v>04</v>
      </c>
      <c r="M56" t="str">
        <f>VLOOKUP(Tabla3[[#This Row],[SERVICIO]],'SAPROV (2)'!I:J,2,FALSE)</f>
        <v>SERV0060</v>
      </c>
      <c r="N56" t="s">
        <v>611</v>
      </c>
      <c r="P56">
        <f>VLOOKUP(Tabla3[[#This Row],[FECHA]],TASA[],2,FALSE)</f>
        <v>344.51</v>
      </c>
      <c r="Q56" s="32">
        <f t="shared" ref="Q56:Q87" si="3">D56/P56</f>
        <v>-8.7080200864996673</v>
      </c>
      <c r="R56" t="s">
        <v>1055</v>
      </c>
    </row>
    <row r="57" spans="1:18" x14ac:dyDescent="0.25">
      <c r="A57" s="33">
        <v>46042</v>
      </c>
      <c r="B57" s="1">
        <v>44702001</v>
      </c>
      <c r="C57" s="2" t="s">
        <v>1147</v>
      </c>
      <c r="D57" s="34">
        <v>-3000</v>
      </c>
      <c r="E57" s="22" t="s">
        <v>20</v>
      </c>
      <c r="F57" s="2" t="e">
        <f>VLOOKUP(Tabla3[[#This Row],[CONTABLE]],'SAPROV (2)'!L:M,2,FALSE)</f>
        <v>#N/A</v>
      </c>
      <c r="H57" t="s">
        <v>588</v>
      </c>
      <c r="I57" s="2" t="str">
        <f>VLOOKUP(Tabla3[[#This Row],[Deposito]],'SAPROV (2)'!D:E,2,FALSE)</f>
        <v>A01</v>
      </c>
      <c r="K57" s="23" t="s">
        <v>23</v>
      </c>
      <c r="L57" s="23" t="str">
        <f>VLOOKUP(Tabla3[[#This Row],[PROVEEDOR]],'SAPROV (2)'!A:B,2,FALSE)</f>
        <v>04</v>
      </c>
      <c r="M57" t="str">
        <f>VLOOKUP(Tabla3[[#This Row],[SERVICIO]],'SAPROV (2)'!I:J,2,FALSE)</f>
        <v>SERV0060</v>
      </c>
      <c r="N57" t="s">
        <v>611</v>
      </c>
      <c r="P57">
        <f>VLOOKUP(Tabla3[[#This Row],[FECHA]],TASA[],2,FALSE)</f>
        <v>344.51</v>
      </c>
      <c r="Q57" s="32">
        <f t="shared" si="3"/>
        <v>-8.7080200864996673</v>
      </c>
      <c r="R57" t="s">
        <v>1055</v>
      </c>
    </row>
    <row r="58" spans="1:18" x14ac:dyDescent="0.25">
      <c r="A58" s="33">
        <v>46042</v>
      </c>
      <c r="B58" s="1">
        <v>44702001</v>
      </c>
      <c r="C58" s="2" t="s">
        <v>1147</v>
      </c>
      <c r="D58" s="34">
        <v>-3000</v>
      </c>
      <c r="E58" s="22" t="s">
        <v>20</v>
      </c>
      <c r="F58" s="2" t="e">
        <f>VLOOKUP(Tabla3[[#This Row],[CONTABLE]],'SAPROV (2)'!L:M,2,FALSE)</f>
        <v>#N/A</v>
      </c>
      <c r="H58" t="s">
        <v>588</v>
      </c>
      <c r="I58" s="2" t="str">
        <f>VLOOKUP(Tabla3[[#This Row],[Deposito]],'SAPROV (2)'!D:E,2,FALSE)</f>
        <v>A01</v>
      </c>
      <c r="K58" s="23" t="s">
        <v>23</v>
      </c>
      <c r="L58" s="2" t="str">
        <f>VLOOKUP(Tabla3[[#This Row],[PROVEEDOR]],'SAPROV (2)'!A:B,2,FALSE)</f>
        <v>04</v>
      </c>
      <c r="M58" t="str">
        <f>VLOOKUP(Tabla3[[#This Row],[SERVICIO]],'SAPROV (2)'!I:J,2,FALSE)</f>
        <v>SERV0060</v>
      </c>
      <c r="N58" t="s">
        <v>611</v>
      </c>
      <c r="P58">
        <f>VLOOKUP(Tabla3[[#This Row],[FECHA]],TASA[],2,FALSE)</f>
        <v>344.51</v>
      </c>
      <c r="Q58" s="32">
        <f t="shared" si="3"/>
        <v>-8.7080200864996673</v>
      </c>
      <c r="R58" t="s">
        <v>1055</v>
      </c>
    </row>
    <row r="59" spans="1:18" x14ac:dyDescent="0.25">
      <c r="A59" s="33">
        <v>46042</v>
      </c>
      <c r="B59" s="1">
        <v>44702001</v>
      </c>
      <c r="C59" s="2" t="s">
        <v>1147</v>
      </c>
      <c r="D59" s="34">
        <v>-3000</v>
      </c>
      <c r="E59" s="22" t="s">
        <v>20</v>
      </c>
      <c r="F59" s="2" t="e">
        <f>VLOOKUP(Tabla3[[#This Row],[CONTABLE]],'SAPROV (2)'!L:M,2,FALSE)</f>
        <v>#N/A</v>
      </c>
      <c r="H59" t="s">
        <v>588</v>
      </c>
      <c r="I59" s="2" t="str">
        <f>VLOOKUP(Tabla3[[#This Row],[Deposito]],'SAPROV (2)'!D:E,2,FALSE)</f>
        <v>A01</v>
      </c>
      <c r="K59" s="23" t="s">
        <v>23</v>
      </c>
      <c r="L59" s="23" t="str">
        <f>VLOOKUP(Tabla3[[#This Row],[PROVEEDOR]],'SAPROV (2)'!A:B,2,FALSE)</f>
        <v>04</v>
      </c>
      <c r="M59" t="str">
        <f>VLOOKUP(Tabla3[[#This Row],[SERVICIO]],'SAPROV (2)'!I:J,2,FALSE)</f>
        <v>SERV0060</v>
      </c>
      <c r="N59" t="s">
        <v>611</v>
      </c>
      <c r="P59">
        <f>VLOOKUP(Tabla3[[#This Row],[FECHA]],TASA[],2,FALSE)</f>
        <v>344.51</v>
      </c>
      <c r="Q59" s="32">
        <f t="shared" si="3"/>
        <v>-8.7080200864996673</v>
      </c>
      <c r="R59" t="s">
        <v>1055</v>
      </c>
    </row>
    <row r="60" spans="1:18" x14ac:dyDescent="0.25">
      <c r="A60" s="33">
        <v>46042</v>
      </c>
      <c r="B60" s="1">
        <v>44702001</v>
      </c>
      <c r="C60" s="2" t="s">
        <v>1147</v>
      </c>
      <c r="D60" s="34">
        <v>-3000</v>
      </c>
      <c r="E60" s="22" t="s">
        <v>20</v>
      </c>
      <c r="F60" s="2" t="e">
        <f>VLOOKUP(Tabla3[[#This Row],[CONTABLE]],'SAPROV (2)'!L:M,2,FALSE)</f>
        <v>#N/A</v>
      </c>
      <c r="H60" t="s">
        <v>588</v>
      </c>
      <c r="I60" s="2" t="str">
        <f>VLOOKUP(Tabla3[[#This Row],[Deposito]],'SAPROV (2)'!D:E,2,FALSE)</f>
        <v>A01</v>
      </c>
      <c r="K60" s="23" t="s">
        <v>23</v>
      </c>
      <c r="L60" s="23" t="str">
        <f>VLOOKUP(Tabla3[[#This Row],[PROVEEDOR]],'SAPROV (2)'!A:B,2,FALSE)</f>
        <v>04</v>
      </c>
      <c r="M60" t="str">
        <f>VLOOKUP(Tabla3[[#This Row],[SERVICIO]],'SAPROV (2)'!I:J,2,FALSE)</f>
        <v>SERV0060</v>
      </c>
      <c r="N60" t="s">
        <v>611</v>
      </c>
      <c r="P60">
        <f>VLOOKUP(Tabla3[[#This Row],[FECHA]],TASA[],2,FALSE)</f>
        <v>344.51</v>
      </c>
      <c r="Q60" s="32">
        <f t="shared" si="3"/>
        <v>-8.7080200864996673</v>
      </c>
      <c r="R60" t="s">
        <v>1055</v>
      </c>
    </row>
    <row r="61" spans="1:18" x14ac:dyDescent="0.25">
      <c r="A61" s="33">
        <v>46042</v>
      </c>
      <c r="B61" s="1">
        <v>44702001</v>
      </c>
      <c r="C61" s="2" t="s">
        <v>1147</v>
      </c>
      <c r="D61" s="34">
        <v>-3000</v>
      </c>
      <c r="E61" s="22" t="s">
        <v>20</v>
      </c>
      <c r="F61" s="2" t="e">
        <f>VLOOKUP(Tabla3[[#This Row],[CONTABLE]],'SAPROV (2)'!L:M,2,FALSE)</f>
        <v>#N/A</v>
      </c>
      <c r="H61" t="s">
        <v>588</v>
      </c>
      <c r="I61" s="2" t="str">
        <f>VLOOKUP(Tabla3[[#This Row],[Deposito]],'SAPROV (2)'!D:E,2,FALSE)</f>
        <v>A01</v>
      </c>
      <c r="K61" s="23" t="s">
        <v>23</v>
      </c>
      <c r="L61" s="2" t="str">
        <f>VLOOKUP(Tabla3[[#This Row],[PROVEEDOR]],'SAPROV (2)'!A:B,2,FALSE)</f>
        <v>04</v>
      </c>
      <c r="M61" t="str">
        <f>VLOOKUP(Tabla3[[#This Row],[SERVICIO]],'SAPROV (2)'!I:J,2,FALSE)</f>
        <v>SERV0060</v>
      </c>
      <c r="N61" t="s">
        <v>611</v>
      </c>
      <c r="P61">
        <f>VLOOKUP(Tabla3[[#This Row],[FECHA]],TASA[],2,FALSE)</f>
        <v>344.51</v>
      </c>
      <c r="Q61" s="32">
        <f t="shared" si="3"/>
        <v>-8.7080200864996673</v>
      </c>
      <c r="R61" t="s">
        <v>1055</v>
      </c>
    </row>
    <row r="62" spans="1:18" x14ac:dyDescent="0.25">
      <c r="A62" s="33">
        <v>46042</v>
      </c>
      <c r="B62" s="1">
        <v>44702001</v>
      </c>
      <c r="C62" s="2" t="s">
        <v>1147</v>
      </c>
      <c r="D62" s="34">
        <v>-3000</v>
      </c>
      <c r="E62" s="22" t="s">
        <v>20</v>
      </c>
      <c r="F62" s="2" t="e">
        <f>VLOOKUP(Tabla3[[#This Row],[CONTABLE]],'SAPROV (2)'!L:M,2,FALSE)</f>
        <v>#N/A</v>
      </c>
      <c r="H62" t="s">
        <v>588</v>
      </c>
      <c r="I62" s="2" t="str">
        <f>VLOOKUP(Tabla3[[#This Row],[Deposito]],'SAPROV (2)'!D:E,2,FALSE)</f>
        <v>A01</v>
      </c>
      <c r="K62" s="23" t="s">
        <v>23</v>
      </c>
      <c r="L62" s="23" t="str">
        <f>VLOOKUP(Tabla3[[#This Row],[PROVEEDOR]],'SAPROV (2)'!A:B,2,FALSE)</f>
        <v>04</v>
      </c>
      <c r="M62" t="str">
        <f>VLOOKUP(Tabla3[[#This Row],[SERVICIO]],'SAPROV (2)'!I:J,2,FALSE)</f>
        <v>SERV0060</v>
      </c>
      <c r="N62" t="s">
        <v>611</v>
      </c>
      <c r="P62">
        <f>VLOOKUP(Tabla3[[#This Row],[FECHA]],TASA[],2,FALSE)</f>
        <v>344.51</v>
      </c>
      <c r="Q62" s="32">
        <f t="shared" si="3"/>
        <v>-8.7080200864996673</v>
      </c>
      <c r="R62" t="s">
        <v>1055</v>
      </c>
    </row>
    <row r="63" spans="1:18" x14ac:dyDescent="0.25">
      <c r="A63" s="33">
        <v>46042</v>
      </c>
      <c r="B63" s="1">
        <v>44702001</v>
      </c>
      <c r="C63" s="2" t="s">
        <v>1147</v>
      </c>
      <c r="D63" s="34">
        <v>-3000</v>
      </c>
      <c r="E63" s="22" t="s">
        <v>20</v>
      </c>
      <c r="F63" s="2" t="e">
        <f>VLOOKUP(Tabla3[[#This Row],[CONTABLE]],'SAPROV (2)'!L:M,2,FALSE)</f>
        <v>#N/A</v>
      </c>
      <c r="H63" t="s">
        <v>588</v>
      </c>
      <c r="I63" s="2" t="str">
        <f>VLOOKUP(Tabla3[[#This Row],[Deposito]],'SAPROV (2)'!D:E,2,FALSE)</f>
        <v>A01</v>
      </c>
      <c r="K63" s="23" t="s">
        <v>23</v>
      </c>
      <c r="L63" s="23" t="str">
        <f>VLOOKUP(Tabla3[[#This Row],[PROVEEDOR]],'SAPROV (2)'!A:B,2,FALSE)</f>
        <v>04</v>
      </c>
      <c r="M63" t="str">
        <f>VLOOKUP(Tabla3[[#This Row],[SERVICIO]],'SAPROV (2)'!I:J,2,FALSE)</f>
        <v>SERV0060</v>
      </c>
      <c r="N63" t="s">
        <v>611</v>
      </c>
      <c r="P63">
        <f>VLOOKUP(Tabla3[[#This Row],[FECHA]],TASA[],2,FALSE)</f>
        <v>344.51</v>
      </c>
      <c r="Q63" s="32">
        <f t="shared" si="3"/>
        <v>-8.7080200864996673</v>
      </c>
      <c r="R63" t="s">
        <v>1055</v>
      </c>
    </row>
    <row r="64" spans="1:18" x14ac:dyDescent="0.25">
      <c r="A64" s="33">
        <v>46042</v>
      </c>
      <c r="B64" s="1">
        <v>44702001</v>
      </c>
      <c r="C64" s="2" t="s">
        <v>1147</v>
      </c>
      <c r="D64" s="34">
        <v>-3000</v>
      </c>
      <c r="E64" s="22" t="s">
        <v>20</v>
      </c>
      <c r="F64" s="2" t="e">
        <f>VLOOKUP(Tabla3[[#This Row],[CONTABLE]],'SAPROV (2)'!L:M,2,FALSE)</f>
        <v>#N/A</v>
      </c>
      <c r="H64" t="s">
        <v>588</v>
      </c>
      <c r="I64" s="2" t="str">
        <f>VLOOKUP(Tabla3[[#This Row],[Deposito]],'SAPROV (2)'!D:E,2,FALSE)</f>
        <v>A01</v>
      </c>
      <c r="K64" s="23" t="s">
        <v>23</v>
      </c>
      <c r="L64" s="2" t="str">
        <f>VLOOKUP(Tabla3[[#This Row],[PROVEEDOR]],'SAPROV (2)'!A:B,2,FALSE)</f>
        <v>04</v>
      </c>
      <c r="M64" t="str">
        <f>VLOOKUP(Tabla3[[#This Row],[SERVICIO]],'SAPROV (2)'!I:J,2,FALSE)</f>
        <v>SERV0060</v>
      </c>
      <c r="N64" t="s">
        <v>611</v>
      </c>
      <c r="P64">
        <f>VLOOKUP(Tabla3[[#This Row],[FECHA]],TASA[],2,FALSE)</f>
        <v>344.51</v>
      </c>
      <c r="Q64" s="32">
        <f t="shared" si="3"/>
        <v>-8.7080200864996673</v>
      </c>
      <c r="R64" t="s">
        <v>1055</v>
      </c>
    </row>
    <row r="65" spans="1:18" x14ac:dyDescent="0.25">
      <c r="A65" s="33">
        <v>46042</v>
      </c>
      <c r="B65" s="1">
        <v>44702001</v>
      </c>
      <c r="C65" s="2" t="s">
        <v>1147</v>
      </c>
      <c r="D65" s="34">
        <v>-3000</v>
      </c>
      <c r="E65" s="22" t="s">
        <v>20</v>
      </c>
      <c r="F65" s="2" t="e">
        <f>VLOOKUP(Tabla3[[#This Row],[CONTABLE]],'SAPROV (2)'!L:M,2,FALSE)</f>
        <v>#N/A</v>
      </c>
      <c r="H65" t="s">
        <v>588</v>
      </c>
      <c r="I65" s="2" t="str">
        <f>VLOOKUP(Tabla3[[#This Row],[Deposito]],'SAPROV (2)'!D:E,2,FALSE)</f>
        <v>A01</v>
      </c>
      <c r="K65" s="23" t="s">
        <v>23</v>
      </c>
      <c r="L65" s="23" t="str">
        <f>VLOOKUP(Tabla3[[#This Row],[PROVEEDOR]],'SAPROV (2)'!A:B,2,FALSE)</f>
        <v>04</v>
      </c>
      <c r="M65" t="str">
        <f>VLOOKUP(Tabla3[[#This Row],[SERVICIO]],'SAPROV (2)'!I:J,2,FALSE)</f>
        <v>SERV0060</v>
      </c>
      <c r="N65" t="s">
        <v>611</v>
      </c>
      <c r="P65">
        <f>VLOOKUP(Tabla3[[#This Row],[FECHA]],TASA[],2,FALSE)</f>
        <v>344.51</v>
      </c>
      <c r="Q65" s="32">
        <f t="shared" si="3"/>
        <v>-8.7080200864996673</v>
      </c>
      <c r="R65" t="s">
        <v>1055</v>
      </c>
    </row>
    <row r="66" spans="1:18" x14ac:dyDescent="0.25">
      <c r="A66" s="33">
        <v>46042</v>
      </c>
      <c r="B66" s="1">
        <v>44702001</v>
      </c>
      <c r="C66" s="2" t="s">
        <v>1147</v>
      </c>
      <c r="D66" s="34">
        <v>-3000</v>
      </c>
      <c r="E66" s="22" t="s">
        <v>20</v>
      </c>
      <c r="F66" s="2" t="e">
        <f>VLOOKUP(Tabla3[[#This Row],[CONTABLE]],'SAPROV (2)'!L:M,2,FALSE)</f>
        <v>#N/A</v>
      </c>
      <c r="H66" t="s">
        <v>588</v>
      </c>
      <c r="I66" s="2" t="str">
        <f>VLOOKUP(Tabla3[[#This Row],[Deposito]],'SAPROV (2)'!D:E,2,FALSE)</f>
        <v>A01</v>
      </c>
      <c r="K66" s="23" t="s">
        <v>23</v>
      </c>
      <c r="L66" s="23" t="str">
        <f>VLOOKUP(Tabla3[[#This Row],[PROVEEDOR]],'SAPROV (2)'!A:B,2,FALSE)</f>
        <v>04</v>
      </c>
      <c r="M66" t="str">
        <f>VLOOKUP(Tabla3[[#This Row],[SERVICIO]],'SAPROV (2)'!I:J,2,FALSE)</f>
        <v>SERV0060</v>
      </c>
      <c r="N66" t="s">
        <v>611</v>
      </c>
      <c r="P66">
        <f>VLOOKUP(Tabla3[[#This Row],[FECHA]],TASA[],2,FALSE)</f>
        <v>344.51</v>
      </c>
      <c r="Q66" s="32">
        <f t="shared" si="3"/>
        <v>-8.7080200864996673</v>
      </c>
      <c r="R66" t="s">
        <v>1055</v>
      </c>
    </row>
    <row r="67" spans="1:18" x14ac:dyDescent="0.25">
      <c r="A67" s="33">
        <v>46042</v>
      </c>
      <c r="B67" s="1">
        <v>44702001</v>
      </c>
      <c r="C67" s="2" t="s">
        <v>1147</v>
      </c>
      <c r="D67" s="34">
        <v>-3000</v>
      </c>
      <c r="E67" s="22" t="s">
        <v>20</v>
      </c>
      <c r="F67" s="2" t="e">
        <f>VLOOKUP(Tabla3[[#This Row],[CONTABLE]],'SAPROV (2)'!L:M,2,FALSE)</f>
        <v>#N/A</v>
      </c>
      <c r="H67" t="s">
        <v>588</v>
      </c>
      <c r="I67" s="2" t="str">
        <f>VLOOKUP(Tabla3[[#This Row],[Deposito]],'SAPROV (2)'!D:E,2,FALSE)</f>
        <v>A01</v>
      </c>
      <c r="K67" s="23" t="s">
        <v>23</v>
      </c>
      <c r="L67" s="2" t="str">
        <f>VLOOKUP(Tabla3[[#This Row],[PROVEEDOR]],'SAPROV (2)'!A:B,2,FALSE)</f>
        <v>04</v>
      </c>
      <c r="M67" t="str">
        <f>VLOOKUP(Tabla3[[#This Row],[SERVICIO]],'SAPROV (2)'!I:J,2,FALSE)</f>
        <v>SERV0060</v>
      </c>
      <c r="N67" t="s">
        <v>611</v>
      </c>
      <c r="P67">
        <f>VLOOKUP(Tabla3[[#This Row],[FECHA]],TASA[],2,FALSE)</f>
        <v>344.51</v>
      </c>
      <c r="Q67" s="32">
        <f t="shared" si="3"/>
        <v>-8.7080200864996673</v>
      </c>
      <c r="R67" t="s">
        <v>1055</v>
      </c>
    </row>
    <row r="68" spans="1:18" x14ac:dyDescent="0.25">
      <c r="A68" s="33">
        <v>46042</v>
      </c>
      <c r="B68" s="1">
        <v>44702001</v>
      </c>
      <c r="C68" s="2" t="s">
        <v>1147</v>
      </c>
      <c r="D68" s="34">
        <v>-3000</v>
      </c>
      <c r="E68" s="22" t="s">
        <v>20</v>
      </c>
      <c r="F68" s="2" t="e">
        <f>VLOOKUP(Tabla3[[#This Row],[CONTABLE]],'SAPROV (2)'!L:M,2,FALSE)</f>
        <v>#N/A</v>
      </c>
      <c r="H68" t="s">
        <v>588</v>
      </c>
      <c r="I68" s="2" t="str">
        <f>VLOOKUP(Tabla3[[#This Row],[Deposito]],'SAPROV (2)'!D:E,2,FALSE)</f>
        <v>A01</v>
      </c>
      <c r="K68" s="23" t="s">
        <v>23</v>
      </c>
      <c r="L68" s="23" t="str">
        <f>VLOOKUP(Tabla3[[#This Row],[PROVEEDOR]],'SAPROV (2)'!A:B,2,FALSE)</f>
        <v>04</v>
      </c>
      <c r="M68" t="str">
        <f>VLOOKUP(Tabla3[[#This Row],[SERVICIO]],'SAPROV (2)'!I:J,2,FALSE)</f>
        <v>SERV0060</v>
      </c>
      <c r="N68" t="s">
        <v>611</v>
      </c>
      <c r="P68">
        <f>VLOOKUP(Tabla3[[#This Row],[FECHA]],TASA[],2,FALSE)</f>
        <v>344.51</v>
      </c>
      <c r="Q68" s="32">
        <f t="shared" si="3"/>
        <v>-8.7080200864996673</v>
      </c>
      <c r="R68" t="s">
        <v>1055</v>
      </c>
    </row>
    <row r="69" spans="1:18" x14ac:dyDescent="0.25">
      <c r="A69" s="33">
        <v>46042</v>
      </c>
      <c r="B69" s="1">
        <v>44702001</v>
      </c>
      <c r="C69" s="2" t="s">
        <v>1147</v>
      </c>
      <c r="D69" s="34">
        <v>-3000</v>
      </c>
      <c r="E69" s="22" t="s">
        <v>20</v>
      </c>
      <c r="F69" s="2" t="e">
        <f>VLOOKUP(Tabla3[[#This Row],[CONTABLE]],'SAPROV (2)'!L:M,2,FALSE)</f>
        <v>#N/A</v>
      </c>
      <c r="H69" t="s">
        <v>588</v>
      </c>
      <c r="I69" s="2" t="str">
        <f>VLOOKUP(Tabla3[[#This Row],[Deposito]],'SAPROV (2)'!D:E,2,FALSE)</f>
        <v>A01</v>
      </c>
      <c r="K69" s="23" t="s">
        <v>23</v>
      </c>
      <c r="L69" s="23" t="str">
        <f>VLOOKUP(Tabla3[[#This Row],[PROVEEDOR]],'SAPROV (2)'!A:B,2,FALSE)</f>
        <v>04</v>
      </c>
      <c r="M69" t="str">
        <f>VLOOKUP(Tabla3[[#This Row],[SERVICIO]],'SAPROV (2)'!I:J,2,FALSE)</f>
        <v>SERV0060</v>
      </c>
      <c r="N69" t="s">
        <v>611</v>
      </c>
      <c r="P69">
        <f>VLOOKUP(Tabla3[[#This Row],[FECHA]],TASA[],2,FALSE)</f>
        <v>344.51</v>
      </c>
      <c r="Q69" s="32">
        <f t="shared" si="3"/>
        <v>-8.7080200864996673</v>
      </c>
      <c r="R69" t="s">
        <v>1055</v>
      </c>
    </row>
    <row r="70" spans="1:18" x14ac:dyDescent="0.25">
      <c r="A70" s="33">
        <v>46042</v>
      </c>
      <c r="B70" s="1">
        <v>44702001</v>
      </c>
      <c r="C70" s="2" t="s">
        <v>1147</v>
      </c>
      <c r="D70" s="34">
        <v>-3000</v>
      </c>
      <c r="E70" s="22" t="s">
        <v>20</v>
      </c>
      <c r="F70" s="2" t="e">
        <f>VLOOKUP(Tabla3[[#This Row],[CONTABLE]],'SAPROV (2)'!L:M,2,FALSE)</f>
        <v>#N/A</v>
      </c>
      <c r="H70" t="s">
        <v>588</v>
      </c>
      <c r="I70" s="2" t="str">
        <f>VLOOKUP(Tabla3[[#This Row],[Deposito]],'SAPROV (2)'!D:E,2,FALSE)</f>
        <v>A01</v>
      </c>
      <c r="K70" s="23" t="s">
        <v>23</v>
      </c>
      <c r="L70" s="2" t="str">
        <f>VLOOKUP(Tabla3[[#This Row],[PROVEEDOR]],'SAPROV (2)'!A:B,2,FALSE)</f>
        <v>04</v>
      </c>
      <c r="M70" t="str">
        <f>VLOOKUP(Tabla3[[#This Row],[SERVICIO]],'SAPROV (2)'!I:J,2,FALSE)</f>
        <v>SERV0060</v>
      </c>
      <c r="N70" t="s">
        <v>611</v>
      </c>
      <c r="P70">
        <f>VLOOKUP(Tabla3[[#This Row],[FECHA]],TASA[],2,FALSE)</f>
        <v>344.51</v>
      </c>
      <c r="Q70" s="32">
        <f t="shared" si="3"/>
        <v>-8.7080200864996673</v>
      </c>
      <c r="R70" t="s">
        <v>1055</v>
      </c>
    </row>
    <row r="71" spans="1:18" x14ac:dyDescent="0.25">
      <c r="A71" s="33">
        <v>46042</v>
      </c>
      <c r="B71" s="1">
        <v>44702001</v>
      </c>
      <c r="C71" s="2" t="s">
        <v>1147</v>
      </c>
      <c r="D71" s="34">
        <v>-3000</v>
      </c>
      <c r="E71" s="22" t="s">
        <v>20</v>
      </c>
      <c r="F71" s="2" t="e">
        <f>VLOOKUP(Tabla3[[#This Row],[CONTABLE]],'SAPROV (2)'!L:M,2,FALSE)</f>
        <v>#N/A</v>
      </c>
      <c r="H71" t="s">
        <v>588</v>
      </c>
      <c r="I71" s="2" t="str">
        <f>VLOOKUP(Tabla3[[#This Row],[Deposito]],'SAPROV (2)'!D:E,2,FALSE)</f>
        <v>A01</v>
      </c>
      <c r="K71" s="23" t="s">
        <v>23</v>
      </c>
      <c r="L71" s="23" t="str">
        <f>VLOOKUP(Tabla3[[#This Row],[PROVEEDOR]],'SAPROV (2)'!A:B,2,FALSE)</f>
        <v>04</v>
      </c>
      <c r="M71" t="str">
        <f>VLOOKUP(Tabla3[[#This Row],[SERVICIO]],'SAPROV (2)'!I:J,2,FALSE)</f>
        <v>SERV0060</v>
      </c>
      <c r="N71" t="s">
        <v>611</v>
      </c>
      <c r="P71">
        <f>VLOOKUP(Tabla3[[#This Row],[FECHA]],TASA[],2,FALSE)</f>
        <v>344.51</v>
      </c>
      <c r="Q71" s="32">
        <f t="shared" si="3"/>
        <v>-8.7080200864996673</v>
      </c>
      <c r="R71" t="s">
        <v>1055</v>
      </c>
    </row>
    <row r="72" spans="1:18" x14ac:dyDescent="0.25">
      <c r="A72" s="33">
        <v>46042</v>
      </c>
      <c r="B72" s="1">
        <v>44702001</v>
      </c>
      <c r="C72" s="2" t="s">
        <v>1147</v>
      </c>
      <c r="D72" s="34">
        <v>-3000</v>
      </c>
      <c r="E72" s="22" t="s">
        <v>20</v>
      </c>
      <c r="F72" s="2" t="e">
        <f>VLOOKUP(Tabla3[[#This Row],[CONTABLE]],'SAPROV (2)'!L:M,2,FALSE)</f>
        <v>#N/A</v>
      </c>
      <c r="H72" t="s">
        <v>588</v>
      </c>
      <c r="I72" s="2" t="str">
        <f>VLOOKUP(Tabla3[[#This Row],[Deposito]],'SAPROV (2)'!D:E,2,FALSE)</f>
        <v>A01</v>
      </c>
      <c r="K72" s="23" t="s">
        <v>23</v>
      </c>
      <c r="L72" s="23" t="str">
        <f>VLOOKUP(Tabla3[[#This Row],[PROVEEDOR]],'SAPROV (2)'!A:B,2,FALSE)</f>
        <v>04</v>
      </c>
      <c r="M72" t="str">
        <f>VLOOKUP(Tabla3[[#This Row],[SERVICIO]],'SAPROV (2)'!I:J,2,FALSE)</f>
        <v>SERV0060</v>
      </c>
      <c r="N72" t="s">
        <v>611</v>
      </c>
      <c r="P72">
        <f>VLOOKUP(Tabla3[[#This Row],[FECHA]],TASA[],2,FALSE)</f>
        <v>344.51</v>
      </c>
      <c r="Q72" s="32">
        <f t="shared" si="3"/>
        <v>-8.7080200864996673</v>
      </c>
      <c r="R72" t="s">
        <v>1055</v>
      </c>
    </row>
    <row r="73" spans="1:18" x14ac:dyDescent="0.25">
      <c r="A73" s="33">
        <v>46042</v>
      </c>
      <c r="B73" s="1">
        <v>44702001</v>
      </c>
      <c r="C73" s="2" t="s">
        <v>1147</v>
      </c>
      <c r="D73" s="34">
        <v>-3000</v>
      </c>
      <c r="E73" s="22" t="s">
        <v>20</v>
      </c>
      <c r="F73" s="2" t="e">
        <f>VLOOKUP(Tabla3[[#This Row],[CONTABLE]],'SAPROV (2)'!L:M,2,FALSE)</f>
        <v>#N/A</v>
      </c>
      <c r="H73" t="s">
        <v>588</v>
      </c>
      <c r="I73" s="2" t="str">
        <f>VLOOKUP(Tabla3[[#This Row],[Deposito]],'SAPROV (2)'!D:E,2,FALSE)</f>
        <v>A01</v>
      </c>
      <c r="K73" s="23" t="s">
        <v>23</v>
      </c>
      <c r="L73" s="2" t="str">
        <f>VLOOKUP(Tabla3[[#This Row],[PROVEEDOR]],'SAPROV (2)'!A:B,2,FALSE)</f>
        <v>04</v>
      </c>
      <c r="M73" t="str">
        <f>VLOOKUP(Tabla3[[#This Row],[SERVICIO]],'SAPROV (2)'!I:J,2,FALSE)</f>
        <v>SERV0060</v>
      </c>
      <c r="N73" t="s">
        <v>611</v>
      </c>
      <c r="P73">
        <f>VLOOKUP(Tabla3[[#This Row],[FECHA]],TASA[],2,FALSE)</f>
        <v>344.51</v>
      </c>
      <c r="Q73" s="32">
        <f t="shared" si="3"/>
        <v>-8.7080200864996673</v>
      </c>
      <c r="R73" t="s">
        <v>1055</v>
      </c>
    </row>
    <row r="74" spans="1:18" x14ac:dyDescent="0.25">
      <c r="A74" s="33">
        <v>46042</v>
      </c>
      <c r="B74" s="1">
        <v>44702001</v>
      </c>
      <c r="C74" s="2" t="s">
        <v>1147</v>
      </c>
      <c r="D74" s="34">
        <v>-3000</v>
      </c>
      <c r="E74" s="22" t="s">
        <v>20</v>
      </c>
      <c r="F74" s="2" t="e">
        <f>VLOOKUP(Tabla3[[#This Row],[CONTABLE]],'SAPROV (2)'!L:M,2,FALSE)</f>
        <v>#N/A</v>
      </c>
      <c r="H74" t="s">
        <v>588</v>
      </c>
      <c r="I74" s="2" t="str">
        <f>VLOOKUP(Tabla3[[#This Row],[Deposito]],'SAPROV (2)'!D:E,2,FALSE)</f>
        <v>A01</v>
      </c>
      <c r="K74" s="23" t="s">
        <v>23</v>
      </c>
      <c r="L74" s="23" t="str">
        <f>VLOOKUP(Tabla3[[#This Row],[PROVEEDOR]],'SAPROV (2)'!A:B,2,FALSE)</f>
        <v>04</v>
      </c>
      <c r="M74" t="str">
        <f>VLOOKUP(Tabla3[[#This Row],[SERVICIO]],'SAPROV (2)'!I:J,2,FALSE)</f>
        <v>SERV0060</v>
      </c>
      <c r="N74" t="s">
        <v>611</v>
      </c>
      <c r="P74">
        <f>VLOOKUP(Tabla3[[#This Row],[FECHA]],TASA[],2,FALSE)</f>
        <v>344.51</v>
      </c>
      <c r="Q74" s="32">
        <f t="shared" si="3"/>
        <v>-8.7080200864996673</v>
      </c>
      <c r="R74" t="s">
        <v>1055</v>
      </c>
    </row>
    <row r="75" spans="1:18" x14ac:dyDescent="0.25">
      <c r="A75" s="33">
        <v>46042</v>
      </c>
      <c r="B75" s="1">
        <v>44702001</v>
      </c>
      <c r="C75" s="2" t="s">
        <v>1147</v>
      </c>
      <c r="D75" s="34">
        <v>-3000</v>
      </c>
      <c r="E75" s="22" t="s">
        <v>20</v>
      </c>
      <c r="F75" s="2" t="e">
        <f>VLOOKUP(Tabla3[[#This Row],[CONTABLE]],'SAPROV (2)'!L:M,2,FALSE)</f>
        <v>#N/A</v>
      </c>
      <c r="H75" t="s">
        <v>588</v>
      </c>
      <c r="I75" s="2" t="str">
        <f>VLOOKUP(Tabla3[[#This Row],[Deposito]],'SAPROV (2)'!D:E,2,FALSE)</f>
        <v>A01</v>
      </c>
      <c r="K75" s="23" t="s">
        <v>23</v>
      </c>
      <c r="L75" s="23" t="str">
        <f>VLOOKUP(Tabla3[[#This Row],[PROVEEDOR]],'SAPROV (2)'!A:B,2,FALSE)</f>
        <v>04</v>
      </c>
      <c r="M75" t="str">
        <f>VLOOKUP(Tabla3[[#This Row],[SERVICIO]],'SAPROV (2)'!I:J,2,FALSE)</f>
        <v>SERV0060</v>
      </c>
      <c r="N75" t="s">
        <v>611</v>
      </c>
      <c r="P75">
        <f>VLOOKUP(Tabla3[[#This Row],[FECHA]],TASA[],2,FALSE)</f>
        <v>344.51</v>
      </c>
      <c r="Q75" s="32">
        <f t="shared" si="3"/>
        <v>-8.7080200864996673</v>
      </c>
      <c r="R75" t="s">
        <v>1055</v>
      </c>
    </row>
    <row r="76" spans="1:18" x14ac:dyDescent="0.25">
      <c r="A76" s="33">
        <v>46042</v>
      </c>
      <c r="B76" s="1">
        <v>44702001</v>
      </c>
      <c r="C76" s="2" t="s">
        <v>1147</v>
      </c>
      <c r="D76" s="34">
        <v>-3000</v>
      </c>
      <c r="E76" s="22" t="s">
        <v>20</v>
      </c>
      <c r="F76" s="2" t="e">
        <f>VLOOKUP(Tabla3[[#This Row],[CONTABLE]],'SAPROV (2)'!L:M,2,FALSE)</f>
        <v>#N/A</v>
      </c>
      <c r="H76" t="s">
        <v>588</v>
      </c>
      <c r="I76" s="2" t="str">
        <f>VLOOKUP(Tabla3[[#This Row],[Deposito]],'SAPROV (2)'!D:E,2,FALSE)</f>
        <v>A01</v>
      </c>
      <c r="K76" s="23" t="s">
        <v>23</v>
      </c>
      <c r="L76" s="2" t="str">
        <f>VLOOKUP(Tabla3[[#This Row],[PROVEEDOR]],'SAPROV (2)'!A:B,2,FALSE)</f>
        <v>04</v>
      </c>
      <c r="M76" t="str">
        <f>VLOOKUP(Tabla3[[#This Row],[SERVICIO]],'SAPROV (2)'!I:J,2,FALSE)</f>
        <v>SERV0060</v>
      </c>
      <c r="N76" t="s">
        <v>611</v>
      </c>
      <c r="P76">
        <f>VLOOKUP(Tabla3[[#This Row],[FECHA]],TASA[],2,FALSE)</f>
        <v>344.51</v>
      </c>
      <c r="Q76" s="32">
        <f t="shared" si="3"/>
        <v>-8.7080200864996673</v>
      </c>
      <c r="R76" t="s">
        <v>1055</v>
      </c>
    </row>
    <row r="77" spans="1:18" x14ac:dyDescent="0.25">
      <c r="A77" s="33">
        <v>46042</v>
      </c>
      <c r="B77" s="1">
        <v>44702001</v>
      </c>
      <c r="C77" s="2" t="s">
        <v>1147</v>
      </c>
      <c r="D77" s="34">
        <v>-3000</v>
      </c>
      <c r="E77" s="22" t="s">
        <v>20</v>
      </c>
      <c r="F77" s="2" t="e">
        <f>VLOOKUP(Tabla3[[#This Row],[CONTABLE]],'SAPROV (2)'!L:M,2,FALSE)</f>
        <v>#N/A</v>
      </c>
      <c r="H77" t="s">
        <v>588</v>
      </c>
      <c r="I77" s="2" t="str">
        <f>VLOOKUP(Tabla3[[#This Row],[Deposito]],'SAPROV (2)'!D:E,2,FALSE)</f>
        <v>A01</v>
      </c>
      <c r="K77" s="23" t="s">
        <v>23</v>
      </c>
      <c r="L77" s="23" t="str">
        <f>VLOOKUP(Tabla3[[#This Row],[PROVEEDOR]],'SAPROV (2)'!A:B,2,FALSE)</f>
        <v>04</v>
      </c>
      <c r="M77" t="str">
        <f>VLOOKUP(Tabla3[[#This Row],[SERVICIO]],'SAPROV (2)'!I:J,2,FALSE)</f>
        <v>SERV0060</v>
      </c>
      <c r="N77" t="s">
        <v>611</v>
      </c>
      <c r="P77">
        <f>VLOOKUP(Tabla3[[#This Row],[FECHA]],TASA[],2,FALSE)</f>
        <v>344.51</v>
      </c>
      <c r="Q77" s="32">
        <f t="shared" si="3"/>
        <v>-8.7080200864996673</v>
      </c>
      <c r="R77" t="s">
        <v>1055</v>
      </c>
    </row>
    <row r="78" spans="1:18" x14ac:dyDescent="0.25">
      <c r="A78" s="33">
        <v>46042</v>
      </c>
      <c r="B78" s="1">
        <v>44702001</v>
      </c>
      <c r="C78" s="2" t="s">
        <v>1147</v>
      </c>
      <c r="D78" s="34">
        <v>-3000</v>
      </c>
      <c r="E78" s="22" t="s">
        <v>20</v>
      </c>
      <c r="F78" s="2" t="e">
        <f>VLOOKUP(Tabla3[[#This Row],[CONTABLE]],'SAPROV (2)'!L:M,2,FALSE)</f>
        <v>#N/A</v>
      </c>
      <c r="H78" t="s">
        <v>588</v>
      </c>
      <c r="I78" s="2" t="str">
        <f>VLOOKUP(Tabla3[[#This Row],[Deposito]],'SAPROV (2)'!D:E,2,FALSE)</f>
        <v>A01</v>
      </c>
      <c r="K78" s="23" t="s">
        <v>23</v>
      </c>
      <c r="L78" s="23" t="str">
        <f>VLOOKUP(Tabla3[[#This Row],[PROVEEDOR]],'SAPROV (2)'!A:B,2,FALSE)</f>
        <v>04</v>
      </c>
      <c r="M78" t="str">
        <f>VLOOKUP(Tabla3[[#This Row],[SERVICIO]],'SAPROV (2)'!I:J,2,FALSE)</f>
        <v>SERV0060</v>
      </c>
      <c r="N78" t="s">
        <v>611</v>
      </c>
      <c r="P78">
        <f>VLOOKUP(Tabla3[[#This Row],[FECHA]],TASA[],2,FALSE)</f>
        <v>344.51</v>
      </c>
      <c r="Q78" s="32">
        <f t="shared" si="3"/>
        <v>-8.7080200864996673</v>
      </c>
      <c r="R78" t="s">
        <v>1055</v>
      </c>
    </row>
    <row r="79" spans="1:18" x14ac:dyDescent="0.25">
      <c r="A79" s="33">
        <v>46042</v>
      </c>
      <c r="B79" s="1">
        <v>44702001</v>
      </c>
      <c r="C79" s="2" t="s">
        <v>1147</v>
      </c>
      <c r="D79" s="34">
        <v>-3000</v>
      </c>
      <c r="E79" s="22" t="s">
        <v>20</v>
      </c>
      <c r="F79" s="2" t="e">
        <f>VLOOKUP(Tabla3[[#This Row],[CONTABLE]],'SAPROV (2)'!L:M,2,FALSE)</f>
        <v>#N/A</v>
      </c>
      <c r="H79" t="s">
        <v>588</v>
      </c>
      <c r="I79" s="2" t="str">
        <f>VLOOKUP(Tabla3[[#This Row],[Deposito]],'SAPROV (2)'!D:E,2,FALSE)</f>
        <v>A01</v>
      </c>
      <c r="K79" s="23" t="s">
        <v>23</v>
      </c>
      <c r="L79" s="2" t="str">
        <f>VLOOKUP(Tabla3[[#This Row],[PROVEEDOR]],'SAPROV (2)'!A:B,2,FALSE)</f>
        <v>04</v>
      </c>
      <c r="M79" t="str">
        <f>VLOOKUP(Tabla3[[#This Row],[SERVICIO]],'SAPROV (2)'!I:J,2,FALSE)</f>
        <v>SERV0060</v>
      </c>
      <c r="N79" t="s">
        <v>611</v>
      </c>
      <c r="P79">
        <f>VLOOKUP(Tabla3[[#This Row],[FECHA]],TASA[],2,FALSE)</f>
        <v>344.51</v>
      </c>
      <c r="Q79" s="32">
        <f t="shared" si="3"/>
        <v>-8.7080200864996673</v>
      </c>
      <c r="R79" t="s">
        <v>1055</v>
      </c>
    </row>
    <row r="80" spans="1:18" x14ac:dyDescent="0.25">
      <c r="A80" s="33">
        <v>46042</v>
      </c>
      <c r="B80" s="1">
        <v>44702001</v>
      </c>
      <c r="C80" s="2" t="s">
        <v>1147</v>
      </c>
      <c r="D80" s="34">
        <v>-3000</v>
      </c>
      <c r="E80" s="22" t="s">
        <v>20</v>
      </c>
      <c r="F80" s="2" t="e">
        <f>VLOOKUP(Tabla3[[#This Row],[CONTABLE]],'SAPROV (2)'!L:M,2,FALSE)</f>
        <v>#N/A</v>
      </c>
      <c r="H80" t="s">
        <v>588</v>
      </c>
      <c r="I80" s="2" t="str">
        <f>VLOOKUP(Tabla3[[#This Row],[Deposito]],'SAPROV (2)'!D:E,2,FALSE)</f>
        <v>A01</v>
      </c>
      <c r="K80" s="23" t="s">
        <v>23</v>
      </c>
      <c r="L80" s="23" t="str">
        <f>VLOOKUP(Tabla3[[#This Row],[PROVEEDOR]],'SAPROV (2)'!A:B,2,FALSE)</f>
        <v>04</v>
      </c>
      <c r="M80" t="str">
        <f>VLOOKUP(Tabla3[[#This Row],[SERVICIO]],'SAPROV (2)'!I:J,2,FALSE)</f>
        <v>SERV0060</v>
      </c>
      <c r="N80" t="s">
        <v>611</v>
      </c>
      <c r="P80">
        <f>VLOOKUP(Tabla3[[#This Row],[FECHA]],TASA[],2,FALSE)</f>
        <v>344.51</v>
      </c>
      <c r="Q80" s="32">
        <f t="shared" si="3"/>
        <v>-8.7080200864996673</v>
      </c>
      <c r="R80" t="s">
        <v>1055</v>
      </c>
    </row>
    <row r="81" spans="1:18" x14ac:dyDescent="0.25">
      <c r="A81" s="33">
        <v>46042</v>
      </c>
      <c r="B81" s="1">
        <v>44702001</v>
      </c>
      <c r="C81" s="2" t="s">
        <v>1147</v>
      </c>
      <c r="D81" s="34">
        <v>-3000</v>
      </c>
      <c r="E81" s="22" t="s">
        <v>20</v>
      </c>
      <c r="F81" s="2" t="e">
        <f>VLOOKUP(Tabla3[[#This Row],[CONTABLE]],'SAPROV (2)'!L:M,2,FALSE)</f>
        <v>#N/A</v>
      </c>
      <c r="H81" t="s">
        <v>588</v>
      </c>
      <c r="I81" s="2" t="str">
        <f>VLOOKUP(Tabla3[[#This Row],[Deposito]],'SAPROV (2)'!D:E,2,FALSE)</f>
        <v>A01</v>
      </c>
      <c r="K81" s="23" t="s">
        <v>23</v>
      </c>
      <c r="L81" s="23" t="str">
        <f>VLOOKUP(Tabla3[[#This Row],[PROVEEDOR]],'SAPROV (2)'!A:B,2,FALSE)</f>
        <v>04</v>
      </c>
      <c r="M81" t="str">
        <f>VLOOKUP(Tabla3[[#This Row],[SERVICIO]],'SAPROV (2)'!I:J,2,FALSE)</f>
        <v>SERV0060</v>
      </c>
      <c r="N81" t="s">
        <v>611</v>
      </c>
      <c r="P81">
        <f>VLOOKUP(Tabla3[[#This Row],[FECHA]],TASA[],2,FALSE)</f>
        <v>344.51</v>
      </c>
      <c r="Q81" s="32">
        <f t="shared" si="3"/>
        <v>-8.7080200864996673</v>
      </c>
      <c r="R81" t="s">
        <v>1055</v>
      </c>
    </row>
    <row r="82" spans="1:18" x14ac:dyDescent="0.25">
      <c r="A82" s="33">
        <v>46042</v>
      </c>
      <c r="B82" s="1">
        <v>44702001</v>
      </c>
      <c r="C82" s="2" t="s">
        <v>1147</v>
      </c>
      <c r="D82" s="34">
        <v>-3000</v>
      </c>
      <c r="E82" s="22" t="s">
        <v>20</v>
      </c>
      <c r="F82" s="2" t="e">
        <f>VLOOKUP(Tabla3[[#This Row],[CONTABLE]],'SAPROV (2)'!L:M,2,FALSE)</f>
        <v>#N/A</v>
      </c>
      <c r="H82" t="s">
        <v>588</v>
      </c>
      <c r="I82" s="2" t="str">
        <f>VLOOKUP(Tabla3[[#This Row],[Deposito]],'SAPROV (2)'!D:E,2,FALSE)</f>
        <v>A01</v>
      </c>
      <c r="K82" s="23" t="s">
        <v>23</v>
      </c>
      <c r="L82" s="2" t="str">
        <f>VLOOKUP(Tabla3[[#This Row],[PROVEEDOR]],'SAPROV (2)'!A:B,2,FALSE)</f>
        <v>04</v>
      </c>
      <c r="M82" t="str">
        <f>VLOOKUP(Tabla3[[#This Row],[SERVICIO]],'SAPROV (2)'!I:J,2,FALSE)</f>
        <v>SERV0060</v>
      </c>
      <c r="N82" t="s">
        <v>611</v>
      </c>
      <c r="P82">
        <f>VLOOKUP(Tabla3[[#This Row],[FECHA]],TASA[],2,FALSE)</f>
        <v>344.51</v>
      </c>
      <c r="Q82" s="32">
        <f t="shared" si="3"/>
        <v>-8.7080200864996673</v>
      </c>
      <c r="R82" t="s">
        <v>1055</v>
      </c>
    </row>
    <row r="83" spans="1:18" x14ac:dyDescent="0.25">
      <c r="A83" s="33">
        <v>46042</v>
      </c>
      <c r="B83" s="1">
        <v>44702001</v>
      </c>
      <c r="C83" s="2" t="s">
        <v>1147</v>
      </c>
      <c r="D83" s="34">
        <v>-3000</v>
      </c>
      <c r="E83" s="22" t="s">
        <v>20</v>
      </c>
      <c r="F83" s="2" t="e">
        <f>VLOOKUP(Tabla3[[#This Row],[CONTABLE]],'SAPROV (2)'!L:M,2,FALSE)</f>
        <v>#N/A</v>
      </c>
      <c r="H83" t="s">
        <v>588</v>
      </c>
      <c r="I83" s="2" t="str">
        <f>VLOOKUP(Tabla3[[#This Row],[Deposito]],'SAPROV (2)'!D:E,2,FALSE)</f>
        <v>A01</v>
      </c>
      <c r="K83" s="23" t="s">
        <v>23</v>
      </c>
      <c r="L83" s="23" t="str">
        <f>VLOOKUP(Tabla3[[#This Row],[PROVEEDOR]],'SAPROV (2)'!A:B,2,FALSE)</f>
        <v>04</v>
      </c>
      <c r="M83" t="str">
        <f>VLOOKUP(Tabla3[[#This Row],[SERVICIO]],'SAPROV (2)'!I:J,2,FALSE)</f>
        <v>SERV0060</v>
      </c>
      <c r="N83" t="s">
        <v>611</v>
      </c>
      <c r="P83">
        <f>VLOOKUP(Tabla3[[#This Row],[FECHA]],TASA[],2,FALSE)</f>
        <v>344.51</v>
      </c>
      <c r="Q83" s="32">
        <f t="shared" si="3"/>
        <v>-8.7080200864996673</v>
      </c>
      <c r="R83" t="s">
        <v>1055</v>
      </c>
    </row>
    <row r="84" spans="1:18" x14ac:dyDescent="0.25">
      <c r="A84" s="33">
        <v>46042</v>
      </c>
      <c r="B84" s="1">
        <v>44702001</v>
      </c>
      <c r="C84" s="2" t="s">
        <v>1147</v>
      </c>
      <c r="D84" s="34">
        <v>-3000</v>
      </c>
      <c r="E84" s="22" t="s">
        <v>20</v>
      </c>
      <c r="F84" s="2" t="e">
        <f>VLOOKUP(Tabla3[[#This Row],[CONTABLE]],'SAPROV (2)'!L:M,2,FALSE)</f>
        <v>#N/A</v>
      </c>
      <c r="H84" t="s">
        <v>588</v>
      </c>
      <c r="I84" s="2" t="str">
        <f>VLOOKUP(Tabla3[[#This Row],[Deposito]],'SAPROV (2)'!D:E,2,FALSE)</f>
        <v>A01</v>
      </c>
      <c r="K84" s="23" t="s">
        <v>23</v>
      </c>
      <c r="L84" s="23" t="str">
        <f>VLOOKUP(Tabla3[[#This Row],[PROVEEDOR]],'SAPROV (2)'!A:B,2,FALSE)</f>
        <v>04</v>
      </c>
      <c r="M84" t="str">
        <f>VLOOKUP(Tabla3[[#This Row],[SERVICIO]],'SAPROV (2)'!I:J,2,FALSE)</f>
        <v>SERV0060</v>
      </c>
      <c r="N84" t="s">
        <v>611</v>
      </c>
      <c r="P84">
        <f>VLOOKUP(Tabla3[[#This Row],[FECHA]],TASA[],2,FALSE)</f>
        <v>344.51</v>
      </c>
      <c r="Q84" s="32">
        <f t="shared" si="3"/>
        <v>-8.7080200864996673</v>
      </c>
      <c r="R84" t="s">
        <v>1055</v>
      </c>
    </row>
    <row r="85" spans="1:18" x14ac:dyDescent="0.25">
      <c r="A85" s="33">
        <v>46042</v>
      </c>
      <c r="B85" s="1">
        <v>44702001</v>
      </c>
      <c r="C85" s="2" t="s">
        <v>1147</v>
      </c>
      <c r="D85" s="34">
        <v>-3000</v>
      </c>
      <c r="E85" s="22" t="s">
        <v>20</v>
      </c>
      <c r="F85" s="2" t="e">
        <f>VLOOKUP(Tabla3[[#This Row],[CONTABLE]],'SAPROV (2)'!L:M,2,FALSE)</f>
        <v>#N/A</v>
      </c>
      <c r="H85" t="s">
        <v>588</v>
      </c>
      <c r="I85" s="2" t="str">
        <f>VLOOKUP(Tabla3[[#This Row],[Deposito]],'SAPROV (2)'!D:E,2,FALSE)</f>
        <v>A01</v>
      </c>
      <c r="K85" s="23" t="s">
        <v>23</v>
      </c>
      <c r="L85" s="2" t="str">
        <f>VLOOKUP(Tabla3[[#This Row],[PROVEEDOR]],'SAPROV (2)'!A:B,2,FALSE)</f>
        <v>04</v>
      </c>
      <c r="M85" t="str">
        <f>VLOOKUP(Tabla3[[#This Row],[SERVICIO]],'SAPROV (2)'!I:J,2,FALSE)</f>
        <v>SERV0060</v>
      </c>
      <c r="N85" t="s">
        <v>611</v>
      </c>
      <c r="P85">
        <f>VLOOKUP(Tabla3[[#This Row],[FECHA]],TASA[],2,FALSE)</f>
        <v>344.51</v>
      </c>
      <c r="Q85" s="32">
        <f t="shared" si="3"/>
        <v>-8.7080200864996673</v>
      </c>
      <c r="R85" t="s">
        <v>1055</v>
      </c>
    </row>
    <row r="86" spans="1:18" x14ac:dyDescent="0.25">
      <c r="A86" s="33">
        <v>46042</v>
      </c>
      <c r="B86" s="1">
        <v>44702001</v>
      </c>
      <c r="C86" s="2" t="s">
        <v>1147</v>
      </c>
      <c r="D86" s="34">
        <v>-3000</v>
      </c>
      <c r="E86" s="22" t="s">
        <v>20</v>
      </c>
      <c r="F86" s="2" t="e">
        <f>VLOOKUP(Tabla3[[#This Row],[CONTABLE]],'SAPROV (2)'!L:M,2,FALSE)</f>
        <v>#N/A</v>
      </c>
      <c r="H86" t="s">
        <v>588</v>
      </c>
      <c r="I86" s="2" t="str">
        <f>VLOOKUP(Tabla3[[#This Row],[Deposito]],'SAPROV (2)'!D:E,2,FALSE)</f>
        <v>A01</v>
      </c>
      <c r="K86" s="23" t="s">
        <v>23</v>
      </c>
      <c r="L86" s="23" t="str">
        <f>VLOOKUP(Tabla3[[#This Row],[PROVEEDOR]],'SAPROV (2)'!A:B,2,FALSE)</f>
        <v>04</v>
      </c>
      <c r="M86" t="str">
        <f>VLOOKUP(Tabla3[[#This Row],[SERVICIO]],'SAPROV (2)'!I:J,2,FALSE)</f>
        <v>SERV0060</v>
      </c>
      <c r="N86" t="s">
        <v>611</v>
      </c>
      <c r="P86">
        <f>VLOOKUP(Tabla3[[#This Row],[FECHA]],TASA[],2,FALSE)</f>
        <v>344.51</v>
      </c>
      <c r="Q86" s="32">
        <f t="shared" si="3"/>
        <v>-8.7080200864996673</v>
      </c>
      <c r="R86" t="s">
        <v>1055</v>
      </c>
    </row>
    <row r="87" spans="1:18" x14ac:dyDescent="0.25">
      <c r="A87" s="33">
        <v>46042</v>
      </c>
      <c r="B87" s="1">
        <v>44702001</v>
      </c>
      <c r="C87" s="2" t="s">
        <v>1147</v>
      </c>
      <c r="D87" s="34">
        <v>-3000</v>
      </c>
      <c r="E87" s="22" t="s">
        <v>20</v>
      </c>
      <c r="F87" s="2" t="e">
        <f>VLOOKUP(Tabla3[[#This Row],[CONTABLE]],'SAPROV (2)'!L:M,2,FALSE)</f>
        <v>#N/A</v>
      </c>
      <c r="H87" t="s">
        <v>588</v>
      </c>
      <c r="I87" s="2" t="str">
        <f>VLOOKUP(Tabla3[[#This Row],[Deposito]],'SAPROV (2)'!D:E,2,FALSE)</f>
        <v>A01</v>
      </c>
      <c r="K87" s="23" t="s">
        <v>23</v>
      </c>
      <c r="L87" s="23" t="str">
        <f>VLOOKUP(Tabla3[[#This Row],[PROVEEDOR]],'SAPROV (2)'!A:B,2,FALSE)</f>
        <v>04</v>
      </c>
      <c r="M87" t="str">
        <f>VLOOKUP(Tabla3[[#This Row],[SERVICIO]],'SAPROV (2)'!I:J,2,FALSE)</f>
        <v>SERV0060</v>
      </c>
      <c r="N87" t="s">
        <v>611</v>
      </c>
      <c r="P87">
        <f>VLOOKUP(Tabla3[[#This Row],[FECHA]],TASA[],2,FALSE)</f>
        <v>344.51</v>
      </c>
      <c r="Q87" s="32">
        <f t="shared" si="3"/>
        <v>-8.7080200864996673</v>
      </c>
      <c r="R87" t="s">
        <v>1055</v>
      </c>
    </row>
    <row r="88" spans="1:18" x14ac:dyDescent="0.25">
      <c r="A88" s="33">
        <v>46042</v>
      </c>
      <c r="B88" s="1">
        <v>44702001</v>
      </c>
      <c r="C88" s="2" t="s">
        <v>1147</v>
      </c>
      <c r="D88" s="34">
        <v>-3000</v>
      </c>
      <c r="E88" s="22" t="s">
        <v>20</v>
      </c>
      <c r="F88" s="2" t="e">
        <f>VLOOKUP(Tabla3[[#This Row],[CONTABLE]],'SAPROV (2)'!L:M,2,FALSE)</f>
        <v>#N/A</v>
      </c>
      <c r="H88" t="s">
        <v>588</v>
      </c>
      <c r="I88" s="2" t="str">
        <f>VLOOKUP(Tabla3[[#This Row],[Deposito]],'SAPROV (2)'!D:E,2,FALSE)</f>
        <v>A01</v>
      </c>
      <c r="K88" s="23" t="s">
        <v>23</v>
      </c>
      <c r="L88" s="2" t="str">
        <f>VLOOKUP(Tabla3[[#This Row],[PROVEEDOR]],'SAPROV (2)'!A:B,2,FALSE)</f>
        <v>04</v>
      </c>
      <c r="M88" t="str">
        <f>VLOOKUP(Tabla3[[#This Row],[SERVICIO]],'SAPROV (2)'!I:J,2,FALSE)</f>
        <v>SERV0060</v>
      </c>
      <c r="N88" t="s">
        <v>611</v>
      </c>
      <c r="P88">
        <f>VLOOKUP(Tabla3[[#This Row],[FECHA]],TASA[],2,FALSE)</f>
        <v>344.51</v>
      </c>
      <c r="Q88" s="32">
        <f t="shared" ref="Q88:Q114" si="4">D88/P88</f>
        <v>-8.7080200864996673</v>
      </c>
      <c r="R88" t="s">
        <v>1055</v>
      </c>
    </row>
    <row r="89" spans="1:18" x14ac:dyDescent="0.25">
      <c r="A89" s="33">
        <v>46042</v>
      </c>
      <c r="B89" s="1">
        <v>44702001</v>
      </c>
      <c r="C89" s="2" t="s">
        <v>1147</v>
      </c>
      <c r="D89" s="34">
        <v>-3000</v>
      </c>
      <c r="E89" s="22" t="s">
        <v>20</v>
      </c>
      <c r="F89" s="2" t="e">
        <f>VLOOKUP(Tabla3[[#This Row],[CONTABLE]],'SAPROV (2)'!L:M,2,FALSE)</f>
        <v>#N/A</v>
      </c>
      <c r="H89" t="s">
        <v>588</v>
      </c>
      <c r="I89" s="2" t="str">
        <f>VLOOKUP(Tabla3[[#This Row],[Deposito]],'SAPROV (2)'!D:E,2,FALSE)</f>
        <v>A01</v>
      </c>
      <c r="K89" s="23" t="s">
        <v>23</v>
      </c>
      <c r="L89" s="23" t="str">
        <f>VLOOKUP(Tabla3[[#This Row],[PROVEEDOR]],'SAPROV (2)'!A:B,2,FALSE)</f>
        <v>04</v>
      </c>
      <c r="M89" t="str">
        <f>VLOOKUP(Tabla3[[#This Row],[SERVICIO]],'SAPROV (2)'!I:J,2,FALSE)</f>
        <v>SERV0060</v>
      </c>
      <c r="N89" t="s">
        <v>611</v>
      </c>
      <c r="P89">
        <f>VLOOKUP(Tabla3[[#This Row],[FECHA]],TASA[],2,FALSE)</f>
        <v>344.51</v>
      </c>
      <c r="Q89" s="32">
        <f t="shared" si="4"/>
        <v>-8.7080200864996673</v>
      </c>
      <c r="R89" t="s">
        <v>1055</v>
      </c>
    </row>
    <row r="90" spans="1:18" x14ac:dyDescent="0.25">
      <c r="A90" s="33">
        <v>46042</v>
      </c>
      <c r="B90" s="1">
        <v>44702001</v>
      </c>
      <c r="C90" s="2" t="s">
        <v>1147</v>
      </c>
      <c r="D90" s="34">
        <v>-3000</v>
      </c>
      <c r="E90" s="22" t="s">
        <v>20</v>
      </c>
      <c r="F90" s="2" t="e">
        <f>VLOOKUP(Tabla3[[#This Row],[CONTABLE]],'SAPROV (2)'!L:M,2,FALSE)</f>
        <v>#N/A</v>
      </c>
      <c r="H90" t="s">
        <v>588</v>
      </c>
      <c r="I90" s="2" t="str">
        <f>VLOOKUP(Tabla3[[#This Row],[Deposito]],'SAPROV (2)'!D:E,2,FALSE)</f>
        <v>A01</v>
      </c>
      <c r="K90" s="23" t="s">
        <v>23</v>
      </c>
      <c r="L90" s="23" t="str">
        <f>VLOOKUP(Tabla3[[#This Row],[PROVEEDOR]],'SAPROV (2)'!A:B,2,FALSE)</f>
        <v>04</v>
      </c>
      <c r="M90" t="str">
        <f>VLOOKUP(Tabla3[[#This Row],[SERVICIO]],'SAPROV (2)'!I:J,2,FALSE)</f>
        <v>SERV0060</v>
      </c>
      <c r="N90" t="s">
        <v>611</v>
      </c>
      <c r="P90">
        <f>VLOOKUP(Tabla3[[#This Row],[FECHA]],TASA[],2,FALSE)</f>
        <v>344.51</v>
      </c>
      <c r="Q90" s="32">
        <f t="shared" si="4"/>
        <v>-8.7080200864996673</v>
      </c>
      <c r="R90" t="s">
        <v>1055</v>
      </c>
    </row>
    <row r="91" spans="1:18" x14ac:dyDescent="0.25">
      <c r="A91" s="33">
        <v>46042</v>
      </c>
      <c r="B91" s="1">
        <v>44702001</v>
      </c>
      <c r="C91" s="2" t="s">
        <v>1147</v>
      </c>
      <c r="D91" s="34">
        <v>-3000</v>
      </c>
      <c r="E91" s="22" t="s">
        <v>20</v>
      </c>
      <c r="F91" s="2" t="e">
        <f>VLOOKUP(Tabla3[[#This Row],[CONTABLE]],'SAPROV (2)'!L:M,2,FALSE)</f>
        <v>#N/A</v>
      </c>
      <c r="H91" t="s">
        <v>588</v>
      </c>
      <c r="I91" s="2" t="str">
        <f>VLOOKUP(Tabla3[[#This Row],[Deposito]],'SAPROV (2)'!D:E,2,FALSE)</f>
        <v>A01</v>
      </c>
      <c r="K91" s="23" t="s">
        <v>23</v>
      </c>
      <c r="L91" s="2" t="str">
        <f>VLOOKUP(Tabla3[[#This Row],[PROVEEDOR]],'SAPROV (2)'!A:B,2,FALSE)</f>
        <v>04</v>
      </c>
      <c r="M91" t="str">
        <f>VLOOKUP(Tabla3[[#This Row],[SERVICIO]],'SAPROV (2)'!I:J,2,FALSE)</f>
        <v>SERV0060</v>
      </c>
      <c r="N91" t="s">
        <v>611</v>
      </c>
      <c r="P91">
        <f>VLOOKUP(Tabla3[[#This Row],[FECHA]],TASA[],2,FALSE)</f>
        <v>344.51</v>
      </c>
      <c r="Q91" s="32">
        <f t="shared" si="4"/>
        <v>-8.7080200864996673</v>
      </c>
      <c r="R91" t="s">
        <v>1055</v>
      </c>
    </row>
    <row r="92" spans="1:18" x14ac:dyDescent="0.25">
      <c r="A92" s="33">
        <v>46042</v>
      </c>
      <c r="B92" s="1">
        <v>44702001</v>
      </c>
      <c r="C92" s="2" t="s">
        <v>1147</v>
      </c>
      <c r="D92" s="34">
        <v>-3000</v>
      </c>
      <c r="E92" s="22" t="s">
        <v>20</v>
      </c>
      <c r="F92" s="2" t="e">
        <f>VLOOKUP(Tabla3[[#This Row],[CONTABLE]],'SAPROV (2)'!L:M,2,FALSE)</f>
        <v>#N/A</v>
      </c>
      <c r="H92" t="s">
        <v>588</v>
      </c>
      <c r="I92" s="2" t="str">
        <f>VLOOKUP(Tabla3[[#This Row],[Deposito]],'SAPROV (2)'!D:E,2,FALSE)</f>
        <v>A01</v>
      </c>
      <c r="K92" s="23" t="s">
        <v>23</v>
      </c>
      <c r="L92" s="23" t="str">
        <f>VLOOKUP(Tabla3[[#This Row],[PROVEEDOR]],'SAPROV (2)'!A:B,2,FALSE)</f>
        <v>04</v>
      </c>
      <c r="M92" t="str">
        <f>VLOOKUP(Tabla3[[#This Row],[SERVICIO]],'SAPROV (2)'!I:J,2,FALSE)</f>
        <v>SERV0060</v>
      </c>
      <c r="N92" t="s">
        <v>611</v>
      </c>
      <c r="P92">
        <f>VLOOKUP(Tabla3[[#This Row],[FECHA]],TASA[],2,FALSE)</f>
        <v>344.51</v>
      </c>
      <c r="Q92" s="32">
        <f t="shared" si="4"/>
        <v>-8.7080200864996673</v>
      </c>
      <c r="R92" t="s">
        <v>1055</v>
      </c>
    </row>
    <row r="93" spans="1:18" x14ac:dyDescent="0.25">
      <c r="A93" s="33">
        <v>46042</v>
      </c>
      <c r="B93" s="1">
        <v>44702001</v>
      </c>
      <c r="C93" s="2" t="s">
        <v>1147</v>
      </c>
      <c r="D93" s="34">
        <v>-3000</v>
      </c>
      <c r="E93" s="22" t="s">
        <v>20</v>
      </c>
      <c r="F93" s="2" t="e">
        <f>VLOOKUP(Tabla3[[#This Row],[CONTABLE]],'SAPROV (2)'!L:M,2,FALSE)</f>
        <v>#N/A</v>
      </c>
      <c r="H93" t="s">
        <v>588</v>
      </c>
      <c r="I93" s="2" t="str">
        <f>VLOOKUP(Tabla3[[#This Row],[Deposito]],'SAPROV (2)'!D:E,2,FALSE)</f>
        <v>A01</v>
      </c>
      <c r="K93" s="23" t="s">
        <v>23</v>
      </c>
      <c r="L93" s="23" t="str">
        <f>VLOOKUP(Tabla3[[#This Row],[PROVEEDOR]],'SAPROV (2)'!A:B,2,FALSE)</f>
        <v>04</v>
      </c>
      <c r="M93" t="str">
        <f>VLOOKUP(Tabla3[[#This Row],[SERVICIO]],'SAPROV (2)'!I:J,2,FALSE)</f>
        <v>SERV0060</v>
      </c>
      <c r="N93" t="s">
        <v>611</v>
      </c>
      <c r="P93">
        <f>VLOOKUP(Tabla3[[#This Row],[FECHA]],TASA[],2,FALSE)</f>
        <v>344.51</v>
      </c>
      <c r="Q93" s="32">
        <f t="shared" si="4"/>
        <v>-8.7080200864996673</v>
      </c>
      <c r="R93" t="s">
        <v>1055</v>
      </c>
    </row>
    <row r="94" spans="1:18" x14ac:dyDescent="0.25">
      <c r="A94" s="33">
        <v>46042</v>
      </c>
      <c r="B94" s="1">
        <v>44702001</v>
      </c>
      <c r="C94" s="2" t="s">
        <v>1147</v>
      </c>
      <c r="D94" s="34">
        <v>-3000</v>
      </c>
      <c r="E94" s="22" t="s">
        <v>20</v>
      </c>
      <c r="F94" s="2" t="e">
        <f>VLOOKUP(Tabla3[[#This Row],[CONTABLE]],'SAPROV (2)'!L:M,2,FALSE)</f>
        <v>#N/A</v>
      </c>
      <c r="H94" t="s">
        <v>588</v>
      </c>
      <c r="I94" s="2" t="str">
        <f>VLOOKUP(Tabla3[[#This Row],[Deposito]],'SAPROV (2)'!D:E,2,FALSE)</f>
        <v>A01</v>
      </c>
      <c r="K94" s="23" t="s">
        <v>23</v>
      </c>
      <c r="L94" s="2" t="str">
        <f>VLOOKUP(Tabla3[[#This Row],[PROVEEDOR]],'SAPROV (2)'!A:B,2,FALSE)</f>
        <v>04</v>
      </c>
      <c r="M94" t="str">
        <f>VLOOKUP(Tabla3[[#This Row],[SERVICIO]],'SAPROV (2)'!I:J,2,FALSE)</f>
        <v>SERV0060</v>
      </c>
      <c r="N94" t="s">
        <v>611</v>
      </c>
      <c r="P94">
        <f>VLOOKUP(Tabla3[[#This Row],[FECHA]],TASA[],2,FALSE)</f>
        <v>344.51</v>
      </c>
      <c r="Q94" s="32">
        <f t="shared" si="4"/>
        <v>-8.7080200864996673</v>
      </c>
      <c r="R94" t="s">
        <v>1055</v>
      </c>
    </row>
    <row r="95" spans="1:18" x14ac:dyDescent="0.25">
      <c r="A95" s="33">
        <v>46042</v>
      </c>
      <c r="B95" s="1">
        <v>44702001</v>
      </c>
      <c r="C95" s="2" t="s">
        <v>1147</v>
      </c>
      <c r="D95" s="34">
        <v>-3000</v>
      </c>
      <c r="E95" s="22" t="s">
        <v>20</v>
      </c>
      <c r="F95" s="2" t="e">
        <f>VLOOKUP(Tabla3[[#This Row],[CONTABLE]],'SAPROV (2)'!L:M,2,FALSE)</f>
        <v>#N/A</v>
      </c>
      <c r="H95" t="s">
        <v>588</v>
      </c>
      <c r="I95" s="2" t="str">
        <f>VLOOKUP(Tabla3[[#This Row],[Deposito]],'SAPROV (2)'!D:E,2,FALSE)</f>
        <v>A01</v>
      </c>
      <c r="K95" s="23" t="s">
        <v>23</v>
      </c>
      <c r="L95" s="23" t="str">
        <f>VLOOKUP(Tabla3[[#This Row],[PROVEEDOR]],'SAPROV (2)'!A:B,2,FALSE)</f>
        <v>04</v>
      </c>
      <c r="M95" t="str">
        <f>VLOOKUP(Tabla3[[#This Row],[SERVICIO]],'SAPROV (2)'!I:J,2,FALSE)</f>
        <v>SERV0060</v>
      </c>
      <c r="N95" t="s">
        <v>611</v>
      </c>
      <c r="P95">
        <f>VLOOKUP(Tabla3[[#This Row],[FECHA]],TASA[],2,FALSE)</f>
        <v>344.51</v>
      </c>
      <c r="Q95" s="32">
        <f t="shared" si="4"/>
        <v>-8.7080200864996673</v>
      </c>
      <c r="R95" t="s">
        <v>1055</v>
      </c>
    </row>
    <row r="96" spans="1:18" x14ac:dyDescent="0.25">
      <c r="A96" s="33">
        <v>46042</v>
      </c>
      <c r="B96" s="1">
        <v>44702001</v>
      </c>
      <c r="C96" s="2" t="s">
        <v>1147</v>
      </c>
      <c r="D96" s="34">
        <v>-3000</v>
      </c>
      <c r="E96" s="22" t="s">
        <v>20</v>
      </c>
      <c r="F96" s="2" t="e">
        <f>VLOOKUP(Tabla3[[#This Row],[CONTABLE]],'SAPROV (2)'!L:M,2,FALSE)</f>
        <v>#N/A</v>
      </c>
      <c r="H96" t="s">
        <v>588</v>
      </c>
      <c r="I96" s="2" t="str">
        <f>VLOOKUP(Tabla3[[#This Row],[Deposito]],'SAPROV (2)'!D:E,2,FALSE)</f>
        <v>A01</v>
      </c>
      <c r="K96" s="23" t="s">
        <v>23</v>
      </c>
      <c r="L96" s="23" t="str">
        <f>VLOOKUP(Tabla3[[#This Row],[PROVEEDOR]],'SAPROV (2)'!A:B,2,FALSE)</f>
        <v>04</v>
      </c>
      <c r="M96" t="str">
        <f>VLOOKUP(Tabla3[[#This Row],[SERVICIO]],'SAPROV (2)'!I:J,2,FALSE)</f>
        <v>SERV0060</v>
      </c>
      <c r="N96" t="s">
        <v>611</v>
      </c>
      <c r="P96">
        <f>VLOOKUP(Tabla3[[#This Row],[FECHA]],TASA[],2,FALSE)</f>
        <v>344.51</v>
      </c>
      <c r="Q96" s="32">
        <f t="shared" si="4"/>
        <v>-8.7080200864996673</v>
      </c>
      <c r="R96" t="s">
        <v>1055</v>
      </c>
    </row>
    <row r="97" spans="1:18" x14ac:dyDescent="0.25">
      <c r="A97" s="33">
        <v>46042</v>
      </c>
      <c r="B97" s="1">
        <v>44702001</v>
      </c>
      <c r="C97" s="2" t="s">
        <v>1147</v>
      </c>
      <c r="D97" s="34">
        <v>-3000</v>
      </c>
      <c r="E97" s="22" t="s">
        <v>20</v>
      </c>
      <c r="F97" s="2" t="e">
        <f>VLOOKUP(Tabla3[[#This Row],[CONTABLE]],'SAPROV (2)'!L:M,2,FALSE)</f>
        <v>#N/A</v>
      </c>
      <c r="H97" t="s">
        <v>588</v>
      </c>
      <c r="I97" s="2" t="str">
        <f>VLOOKUP(Tabla3[[#This Row],[Deposito]],'SAPROV (2)'!D:E,2,FALSE)</f>
        <v>A01</v>
      </c>
      <c r="K97" s="23" t="s">
        <v>23</v>
      </c>
      <c r="L97" s="2" t="str">
        <f>VLOOKUP(Tabla3[[#This Row],[PROVEEDOR]],'SAPROV (2)'!A:B,2,FALSE)</f>
        <v>04</v>
      </c>
      <c r="M97" t="str">
        <f>VLOOKUP(Tabla3[[#This Row],[SERVICIO]],'SAPROV (2)'!I:J,2,FALSE)</f>
        <v>SERV0060</v>
      </c>
      <c r="N97" t="s">
        <v>611</v>
      </c>
      <c r="P97">
        <f>VLOOKUP(Tabla3[[#This Row],[FECHA]],TASA[],2,FALSE)</f>
        <v>344.51</v>
      </c>
      <c r="Q97" s="32">
        <f t="shared" si="4"/>
        <v>-8.7080200864996673</v>
      </c>
      <c r="R97" t="s">
        <v>1055</v>
      </c>
    </row>
    <row r="98" spans="1:18" x14ac:dyDescent="0.25">
      <c r="A98" s="33">
        <v>46042</v>
      </c>
      <c r="B98" s="1">
        <v>44702001</v>
      </c>
      <c r="C98" s="2" t="s">
        <v>1147</v>
      </c>
      <c r="D98" s="34">
        <v>-3000</v>
      </c>
      <c r="E98" s="22" t="s">
        <v>20</v>
      </c>
      <c r="F98" s="2" t="e">
        <f>VLOOKUP(Tabla3[[#This Row],[CONTABLE]],'SAPROV (2)'!L:M,2,FALSE)</f>
        <v>#N/A</v>
      </c>
      <c r="H98" t="s">
        <v>588</v>
      </c>
      <c r="I98" s="2" t="str">
        <f>VLOOKUP(Tabla3[[#This Row],[Deposito]],'SAPROV (2)'!D:E,2,FALSE)</f>
        <v>A01</v>
      </c>
      <c r="K98" s="23" t="s">
        <v>23</v>
      </c>
      <c r="L98" s="23" t="str">
        <f>VLOOKUP(Tabla3[[#This Row],[PROVEEDOR]],'SAPROV (2)'!A:B,2,FALSE)</f>
        <v>04</v>
      </c>
      <c r="M98" t="str">
        <f>VLOOKUP(Tabla3[[#This Row],[SERVICIO]],'SAPROV (2)'!I:J,2,FALSE)</f>
        <v>SERV0060</v>
      </c>
      <c r="N98" t="s">
        <v>611</v>
      </c>
      <c r="P98">
        <f>VLOOKUP(Tabla3[[#This Row],[FECHA]],TASA[],2,FALSE)</f>
        <v>344.51</v>
      </c>
      <c r="Q98" s="32">
        <f t="shared" si="4"/>
        <v>-8.7080200864996673</v>
      </c>
      <c r="R98" t="s">
        <v>1055</v>
      </c>
    </row>
    <row r="99" spans="1:18" x14ac:dyDescent="0.25">
      <c r="A99" s="33">
        <v>46042</v>
      </c>
      <c r="B99" s="1">
        <v>44702001</v>
      </c>
      <c r="C99" s="2" t="s">
        <v>1147</v>
      </c>
      <c r="D99" s="34">
        <v>-3000</v>
      </c>
      <c r="E99" s="22" t="s">
        <v>20</v>
      </c>
      <c r="F99" s="2" t="e">
        <f>VLOOKUP(Tabla3[[#This Row],[CONTABLE]],'SAPROV (2)'!L:M,2,FALSE)</f>
        <v>#N/A</v>
      </c>
      <c r="H99" t="s">
        <v>588</v>
      </c>
      <c r="I99" s="2" t="str">
        <f>VLOOKUP(Tabla3[[#This Row],[Deposito]],'SAPROV (2)'!D:E,2,FALSE)</f>
        <v>A01</v>
      </c>
      <c r="K99" s="23" t="s">
        <v>23</v>
      </c>
      <c r="L99" s="23" t="str">
        <f>VLOOKUP(Tabla3[[#This Row],[PROVEEDOR]],'SAPROV (2)'!A:B,2,FALSE)</f>
        <v>04</v>
      </c>
      <c r="M99" t="str">
        <f>VLOOKUP(Tabla3[[#This Row],[SERVICIO]],'SAPROV (2)'!I:J,2,FALSE)</f>
        <v>SERV0060</v>
      </c>
      <c r="N99" t="s">
        <v>611</v>
      </c>
      <c r="P99">
        <f>VLOOKUP(Tabla3[[#This Row],[FECHA]],TASA[],2,FALSE)</f>
        <v>344.51</v>
      </c>
      <c r="Q99" s="32">
        <f t="shared" si="4"/>
        <v>-8.7080200864996673</v>
      </c>
      <c r="R99" t="s">
        <v>1055</v>
      </c>
    </row>
    <row r="100" spans="1:18" x14ac:dyDescent="0.25">
      <c r="A100" s="33">
        <v>46042</v>
      </c>
      <c r="B100" s="1">
        <v>44702001</v>
      </c>
      <c r="C100" s="2" t="s">
        <v>1147</v>
      </c>
      <c r="D100" s="34">
        <v>-3000</v>
      </c>
      <c r="E100" s="22" t="s">
        <v>20</v>
      </c>
      <c r="F100" s="2" t="e">
        <f>VLOOKUP(Tabla3[[#This Row],[CONTABLE]],'SAPROV (2)'!L:M,2,FALSE)</f>
        <v>#N/A</v>
      </c>
      <c r="H100" t="s">
        <v>588</v>
      </c>
      <c r="I100" s="2" t="str">
        <f>VLOOKUP(Tabla3[[#This Row],[Deposito]],'SAPROV (2)'!D:E,2,FALSE)</f>
        <v>A01</v>
      </c>
      <c r="K100" s="23" t="s">
        <v>23</v>
      </c>
      <c r="L100" s="2" t="str">
        <f>VLOOKUP(Tabla3[[#This Row],[PROVEEDOR]],'SAPROV (2)'!A:B,2,FALSE)</f>
        <v>04</v>
      </c>
      <c r="M100" t="str">
        <f>VLOOKUP(Tabla3[[#This Row],[SERVICIO]],'SAPROV (2)'!I:J,2,FALSE)</f>
        <v>SERV0060</v>
      </c>
      <c r="N100" t="s">
        <v>611</v>
      </c>
      <c r="P100">
        <f>VLOOKUP(Tabla3[[#This Row],[FECHA]],TASA[],2,FALSE)</f>
        <v>344.51</v>
      </c>
      <c r="Q100" s="32">
        <f t="shared" si="4"/>
        <v>-8.7080200864996673</v>
      </c>
      <c r="R100" t="s">
        <v>1055</v>
      </c>
    </row>
    <row r="101" spans="1:18" x14ac:dyDescent="0.25">
      <c r="A101" s="33">
        <v>46042</v>
      </c>
      <c r="B101" s="1">
        <v>44702001</v>
      </c>
      <c r="C101" s="2" t="s">
        <v>1147</v>
      </c>
      <c r="D101" s="34">
        <v>-3000</v>
      </c>
      <c r="E101" s="22" t="s">
        <v>20</v>
      </c>
      <c r="F101" s="2" t="e">
        <f>VLOOKUP(Tabla3[[#This Row],[CONTABLE]],'SAPROV (2)'!L:M,2,FALSE)</f>
        <v>#N/A</v>
      </c>
      <c r="H101" t="s">
        <v>588</v>
      </c>
      <c r="I101" s="2" t="str">
        <f>VLOOKUP(Tabla3[[#This Row],[Deposito]],'SAPROV (2)'!D:E,2,FALSE)</f>
        <v>A01</v>
      </c>
      <c r="K101" s="23" t="s">
        <v>23</v>
      </c>
      <c r="L101" s="23" t="str">
        <f>VLOOKUP(Tabla3[[#This Row],[PROVEEDOR]],'SAPROV (2)'!A:B,2,FALSE)</f>
        <v>04</v>
      </c>
      <c r="M101" t="str">
        <f>VLOOKUP(Tabla3[[#This Row],[SERVICIO]],'SAPROV (2)'!I:J,2,FALSE)</f>
        <v>SERV0060</v>
      </c>
      <c r="N101" t="s">
        <v>611</v>
      </c>
      <c r="P101">
        <f>VLOOKUP(Tabla3[[#This Row],[FECHA]],TASA[],2,FALSE)</f>
        <v>344.51</v>
      </c>
      <c r="Q101" s="32">
        <f t="shared" si="4"/>
        <v>-8.7080200864996673</v>
      </c>
      <c r="R101" t="s">
        <v>1055</v>
      </c>
    </row>
    <row r="102" spans="1:18" x14ac:dyDescent="0.25">
      <c r="A102" s="33">
        <v>46042</v>
      </c>
      <c r="B102" s="1">
        <v>44702001</v>
      </c>
      <c r="C102" s="2" t="s">
        <v>1147</v>
      </c>
      <c r="D102" s="34">
        <v>-3000</v>
      </c>
      <c r="E102" s="22" t="s">
        <v>20</v>
      </c>
      <c r="F102" s="2" t="e">
        <f>VLOOKUP(Tabla3[[#This Row],[CONTABLE]],'SAPROV (2)'!L:M,2,FALSE)</f>
        <v>#N/A</v>
      </c>
      <c r="H102" t="s">
        <v>588</v>
      </c>
      <c r="I102" s="2" t="str">
        <f>VLOOKUP(Tabla3[[#This Row],[Deposito]],'SAPROV (2)'!D:E,2,FALSE)</f>
        <v>A01</v>
      </c>
      <c r="K102" s="23" t="s">
        <v>23</v>
      </c>
      <c r="L102" s="23" t="str">
        <f>VLOOKUP(Tabla3[[#This Row],[PROVEEDOR]],'SAPROV (2)'!A:B,2,FALSE)</f>
        <v>04</v>
      </c>
      <c r="M102" t="str">
        <f>VLOOKUP(Tabla3[[#This Row],[SERVICIO]],'SAPROV (2)'!I:J,2,FALSE)</f>
        <v>SERV0060</v>
      </c>
      <c r="N102" t="s">
        <v>611</v>
      </c>
      <c r="P102">
        <f>VLOOKUP(Tabla3[[#This Row],[FECHA]],TASA[],2,FALSE)</f>
        <v>344.51</v>
      </c>
      <c r="Q102" s="32">
        <f t="shared" si="4"/>
        <v>-8.7080200864996673</v>
      </c>
      <c r="R102" t="s">
        <v>1055</v>
      </c>
    </row>
    <row r="103" spans="1:18" x14ac:dyDescent="0.25">
      <c r="A103" s="33">
        <v>46042</v>
      </c>
      <c r="B103" s="1">
        <v>44702001</v>
      </c>
      <c r="C103" s="2" t="s">
        <v>1147</v>
      </c>
      <c r="D103" s="34">
        <v>-3000</v>
      </c>
      <c r="E103" s="22" t="s">
        <v>20</v>
      </c>
      <c r="F103" s="2" t="e">
        <f>VLOOKUP(Tabla3[[#This Row],[CONTABLE]],'SAPROV (2)'!L:M,2,FALSE)</f>
        <v>#N/A</v>
      </c>
      <c r="H103" t="s">
        <v>588</v>
      </c>
      <c r="I103" s="2" t="str">
        <f>VLOOKUP(Tabla3[[#This Row],[Deposito]],'SAPROV (2)'!D:E,2,FALSE)</f>
        <v>A01</v>
      </c>
      <c r="K103" s="23" t="s">
        <v>23</v>
      </c>
      <c r="L103" s="2" t="str">
        <f>VLOOKUP(Tabla3[[#This Row],[PROVEEDOR]],'SAPROV (2)'!A:B,2,FALSE)</f>
        <v>04</v>
      </c>
      <c r="M103" t="str">
        <f>VLOOKUP(Tabla3[[#This Row],[SERVICIO]],'SAPROV (2)'!I:J,2,FALSE)</f>
        <v>SERV0060</v>
      </c>
      <c r="N103" t="s">
        <v>611</v>
      </c>
      <c r="P103">
        <f>VLOOKUP(Tabla3[[#This Row],[FECHA]],TASA[],2,FALSE)</f>
        <v>344.51</v>
      </c>
      <c r="Q103" s="32">
        <f t="shared" si="4"/>
        <v>-8.7080200864996673</v>
      </c>
      <c r="R103" t="s">
        <v>1055</v>
      </c>
    </row>
    <row r="104" spans="1:18" x14ac:dyDescent="0.25">
      <c r="A104" s="33">
        <v>46042</v>
      </c>
      <c r="B104" s="1">
        <v>44702001</v>
      </c>
      <c r="C104" s="2" t="s">
        <v>1147</v>
      </c>
      <c r="D104" s="34">
        <v>-3000</v>
      </c>
      <c r="E104" s="22" t="s">
        <v>20</v>
      </c>
      <c r="F104" s="2" t="e">
        <f>VLOOKUP(Tabla3[[#This Row],[CONTABLE]],'SAPROV (2)'!L:M,2,FALSE)</f>
        <v>#N/A</v>
      </c>
      <c r="H104" t="s">
        <v>588</v>
      </c>
      <c r="I104" s="2" t="str">
        <f>VLOOKUP(Tabla3[[#This Row],[Deposito]],'SAPROV (2)'!D:E,2,FALSE)</f>
        <v>A01</v>
      </c>
      <c r="K104" s="23" t="s">
        <v>23</v>
      </c>
      <c r="L104" s="23" t="str">
        <f>VLOOKUP(Tabla3[[#This Row],[PROVEEDOR]],'SAPROV (2)'!A:B,2,FALSE)</f>
        <v>04</v>
      </c>
      <c r="M104" t="str">
        <f>VLOOKUP(Tabla3[[#This Row],[SERVICIO]],'SAPROV (2)'!I:J,2,FALSE)</f>
        <v>SERV0060</v>
      </c>
      <c r="N104" t="s">
        <v>611</v>
      </c>
      <c r="P104">
        <f>VLOOKUP(Tabla3[[#This Row],[FECHA]],TASA[],2,FALSE)</f>
        <v>344.51</v>
      </c>
      <c r="Q104" s="32">
        <f t="shared" si="4"/>
        <v>-8.7080200864996673</v>
      </c>
      <c r="R104" t="s">
        <v>1055</v>
      </c>
    </row>
    <row r="105" spans="1:18" x14ac:dyDescent="0.25">
      <c r="A105" s="33">
        <v>46042</v>
      </c>
      <c r="B105" s="1">
        <v>44702001</v>
      </c>
      <c r="C105" s="2" t="s">
        <v>1147</v>
      </c>
      <c r="D105" s="34">
        <v>-3000</v>
      </c>
      <c r="E105" s="22" t="s">
        <v>20</v>
      </c>
      <c r="F105" s="2" t="e">
        <f>VLOOKUP(Tabla3[[#This Row],[CONTABLE]],'SAPROV (2)'!L:M,2,FALSE)</f>
        <v>#N/A</v>
      </c>
      <c r="H105" t="s">
        <v>588</v>
      </c>
      <c r="I105" s="2" t="str">
        <f>VLOOKUP(Tabla3[[#This Row],[Deposito]],'SAPROV (2)'!D:E,2,FALSE)</f>
        <v>A01</v>
      </c>
      <c r="K105" s="23" t="s">
        <v>23</v>
      </c>
      <c r="L105" s="23" t="str">
        <f>VLOOKUP(Tabla3[[#This Row],[PROVEEDOR]],'SAPROV (2)'!A:B,2,FALSE)</f>
        <v>04</v>
      </c>
      <c r="M105" t="str">
        <f>VLOOKUP(Tabla3[[#This Row],[SERVICIO]],'SAPROV (2)'!I:J,2,FALSE)</f>
        <v>SERV0060</v>
      </c>
      <c r="N105" t="s">
        <v>611</v>
      </c>
      <c r="P105">
        <f>VLOOKUP(Tabla3[[#This Row],[FECHA]],TASA[],2,FALSE)</f>
        <v>344.51</v>
      </c>
      <c r="Q105" s="32">
        <f t="shared" si="4"/>
        <v>-8.7080200864996673</v>
      </c>
      <c r="R105" t="s">
        <v>1055</v>
      </c>
    </row>
    <row r="106" spans="1:18" x14ac:dyDescent="0.25">
      <c r="A106" s="33">
        <v>46042</v>
      </c>
      <c r="B106" s="1">
        <v>44702001</v>
      </c>
      <c r="C106" s="2" t="s">
        <v>1147</v>
      </c>
      <c r="D106" s="34">
        <v>-3000</v>
      </c>
      <c r="E106" s="22" t="s">
        <v>20</v>
      </c>
      <c r="F106" s="2" t="e">
        <f>VLOOKUP(Tabla3[[#This Row],[CONTABLE]],'SAPROV (2)'!L:M,2,FALSE)</f>
        <v>#N/A</v>
      </c>
      <c r="H106" t="s">
        <v>588</v>
      </c>
      <c r="I106" s="2" t="str">
        <f>VLOOKUP(Tabla3[[#This Row],[Deposito]],'SAPROV (2)'!D:E,2,FALSE)</f>
        <v>A01</v>
      </c>
      <c r="K106" s="23" t="s">
        <v>23</v>
      </c>
      <c r="L106" s="2" t="str">
        <f>VLOOKUP(Tabla3[[#This Row],[PROVEEDOR]],'SAPROV (2)'!A:B,2,FALSE)</f>
        <v>04</v>
      </c>
      <c r="M106" t="str">
        <f>VLOOKUP(Tabla3[[#This Row],[SERVICIO]],'SAPROV (2)'!I:J,2,FALSE)</f>
        <v>SERV0060</v>
      </c>
      <c r="N106" t="s">
        <v>611</v>
      </c>
      <c r="P106">
        <f>VLOOKUP(Tabla3[[#This Row],[FECHA]],TASA[],2,FALSE)</f>
        <v>344.51</v>
      </c>
      <c r="Q106" s="32">
        <f t="shared" si="4"/>
        <v>-8.7080200864996673</v>
      </c>
      <c r="R106" t="s">
        <v>1055</v>
      </c>
    </row>
    <row r="107" spans="1:18" x14ac:dyDescent="0.25">
      <c r="A107" s="33">
        <v>46042</v>
      </c>
      <c r="B107" s="1">
        <v>44702001</v>
      </c>
      <c r="C107" s="2" t="s">
        <v>1147</v>
      </c>
      <c r="D107" s="34">
        <v>-3000</v>
      </c>
      <c r="E107" s="22" t="s">
        <v>20</v>
      </c>
      <c r="F107" s="2" t="e">
        <f>VLOOKUP(Tabla3[[#This Row],[CONTABLE]],'SAPROV (2)'!L:M,2,FALSE)</f>
        <v>#N/A</v>
      </c>
      <c r="H107" t="s">
        <v>588</v>
      </c>
      <c r="I107" s="2" t="str">
        <f>VLOOKUP(Tabla3[[#This Row],[Deposito]],'SAPROV (2)'!D:E,2,FALSE)</f>
        <v>A01</v>
      </c>
      <c r="K107" s="23" t="s">
        <v>23</v>
      </c>
      <c r="L107" s="23" t="str">
        <f>VLOOKUP(Tabla3[[#This Row],[PROVEEDOR]],'SAPROV (2)'!A:B,2,FALSE)</f>
        <v>04</v>
      </c>
      <c r="M107" t="str">
        <f>VLOOKUP(Tabla3[[#This Row],[SERVICIO]],'SAPROV (2)'!I:J,2,FALSE)</f>
        <v>SERV0060</v>
      </c>
      <c r="N107" t="s">
        <v>611</v>
      </c>
      <c r="P107">
        <f>VLOOKUP(Tabla3[[#This Row],[FECHA]],TASA[],2,FALSE)</f>
        <v>344.51</v>
      </c>
      <c r="Q107" s="32">
        <f t="shared" si="4"/>
        <v>-8.7080200864996673</v>
      </c>
      <c r="R107" t="s">
        <v>1055</v>
      </c>
    </row>
    <row r="108" spans="1:18" x14ac:dyDescent="0.25">
      <c r="A108" s="33">
        <v>46042</v>
      </c>
      <c r="B108" s="1">
        <v>44702001</v>
      </c>
      <c r="C108" s="2" t="s">
        <v>1147</v>
      </c>
      <c r="D108" s="34">
        <v>-3000</v>
      </c>
      <c r="E108" s="22" t="s">
        <v>20</v>
      </c>
      <c r="F108" s="2" t="e">
        <f>VLOOKUP(Tabla3[[#This Row],[CONTABLE]],'SAPROV (2)'!L:M,2,FALSE)</f>
        <v>#N/A</v>
      </c>
      <c r="H108" t="s">
        <v>588</v>
      </c>
      <c r="I108" s="2" t="str">
        <f>VLOOKUP(Tabla3[[#This Row],[Deposito]],'SAPROV (2)'!D:E,2,FALSE)</f>
        <v>A01</v>
      </c>
      <c r="K108" s="23" t="s">
        <v>23</v>
      </c>
      <c r="L108" s="23" t="str">
        <f>VLOOKUP(Tabla3[[#This Row],[PROVEEDOR]],'SAPROV (2)'!A:B,2,FALSE)</f>
        <v>04</v>
      </c>
      <c r="M108" t="str">
        <f>VLOOKUP(Tabla3[[#This Row],[SERVICIO]],'SAPROV (2)'!I:J,2,FALSE)</f>
        <v>SERV0060</v>
      </c>
      <c r="N108" t="s">
        <v>611</v>
      </c>
      <c r="P108">
        <f>VLOOKUP(Tabla3[[#This Row],[FECHA]],TASA[],2,FALSE)</f>
        <v>344.51</v>
      </c>
      <c r="Q108" s="32">
        <f t="shared" si="4"/>
        <v>-8.7080200864996673</v>
      </c>
      <c r="R108" t="s">
        <v>1055</v>
      </c>
    </row>
    <row r="109" spans="1:18" x14ac:dyDescent="0.25">
      <c r="A109" s="33">
        <v>46042</v>
      </c>
      <c r="B109" s="1">
        <v>44702001</v>
      </c>
      <c r="C109" s="2" t="s">
        <v>1147</v>
      </c>
      <c r="D109" s="34">
        <v>-3000</v>
      </c>
      <c r="E109" s="22" t="s">
        <v>20</v>
      </c>
      <c r="F109" s="2" t="e">
        <f>VLOOKUP(Tabla3[[#This Row],[CONTABLE]],'SAPROV (2)'!L:M,2,FALSE)</f>
        <v>#N/A</v>
      </c>
      <c r="H109" t="s">
        <v>588</v>
      </c>
      <c r="I109" s="2" t="str">
        <f>VLOOKUP(Tabla3[[#This Row],[Deposito]],'SAPROV (2)'!D:E,2,FALSE)</f>
        <v>A01</v>
      </c>
      <c r="K109" s="23" t="s">
        <v>23</v>
      </c>
      <c r="L109" s="2" t="str">
        <f>VLOOKUP(Tabla3[[#This Row],[PROVEEDOR]],'SAPROV (2)'!A:B,2,FALSE)</f>
        <v>04</v>
      </c>
      <c r="M109" t="str">
        <f>VLOOKUP(Tabla3[[#This Row],[SERVICIO]],'SAPROV (2)'!I:J,2,FALSE)</f>
        <v>SERV0060</v>
      </c>
      <c r="N109" t="s">
        <v>611</v>
      </c>
      <c r="P109">
        <f>VLOOKUP(Tabla3[[#This Row],[FECHA]],TASA[],2,FALSE)</f>
        <v>344.51</v>
      </c>
      <c r="Q109" s="32">
        <f t="shared" si="4"/>
        <v>-8.7080200864996673</v>
      </c>
      <c r="R109" t="s">
        <v>1055</v>
      </c>
    </row>
    <row r="110" spans="1:18" x14ac:dyDescent="0.25">
      <c r="A110" s="33">
        <v>46042</v>
      </c>
      <c r="B110" s="1">
        <v>44702001</v>
      </c>
      <c r="C110" s="2" t="s">
        <v>1147</v>
      </c>
      <c r="D110" s="34">
        <v>-3000</v>
      </c>
      <c r="E110" s="22" t="s">
        <v>20</v>
      </c>
      <c r="F110" s="2" t="e">
        <f>VLOOKUP(Tabla3[[#This Row],[CONTABLE]],'SAPROV (2)'!L:M,2,FALSE)</f>
        <v>#N/A</v>
      </c>
      <c r="H110" t="s">
        <v>588</v>
      </c>
      <c r="I110" s="2" t="str">
        <f>VLOOKUP(Tabla3[[#This Row],[Deposito]],'SAPROV (2)'!D:E,2,FALSE)</f>
        <v>A01</v>
      </c>
      <c r="K110" s="23" t="s">
        <v>23</v>
      </c>
      <c r="L110" s="23" t="str">
        <f>VLOOKUP(Tabla3[[#This Row],[PROVEEDOR]],'SAPROV (2)'!A:B,2,FALSE)</f>
        <v>04</v>
      </c>
      <c r="M110" t="str">
        <f>VLOOKUP(Tabla3[[#This Row],[SERVICIO]],'SAPROV (2)'!I:J,2,FALSE)</f>
        <v>SERV0060</v>
      </c>
      <c r="N110" t="s">
        <v>611</v>
      </c>
      <c r="P110">
        <f>VLOOKUP(Tabla3[[#This Row],[FECHA]],TASA[],2,FALSE)</f>
        <v>344.51</v>
      </c>
      <c r="Q110" s="32">
        <f t="shared" si="4"/>
        <v>-8.7080200864996673</v>
      </c>
      <c r="R110" t="s">
        <v>1055</v>
      </c>
    </row>
    <row r="111" spans="1:18" x14ac:dyDescent="0.25">
      <c r="A111" s="33">
        <v>46042</v>
      </c>
      <c r="B111" s="1">
        <v>44702001</v>
      </c>
      <c r="C111" s="2" t="s">
        <v>1147</v>
      </c>
      <c r="D111" s="34">
        <v>-3000</v>
      </c>
      <c r="E111" s="22" t="s">
        <v>20</v>
      </c>
      <c r="F111" s="2" t="e">
        <f>VLOOKUP(Tabla3[[#This Row],[CONTABLE]],'SAPROV (2)'!L:M,2,FALSE)</f>
        <v>#N/A</v>
      </c>
      <c r="H111" t="s">
        <v>588</v>
      </c>
      <c r="I111" s="2" t="str">
        <f>VLOOKUP(Tabla3[[#This Row],[Deposito]],'SAPROV (2)'!D:E,2,FALSE)</f>
        <v>A01</v>
      </c>
      <c r="K111" s="23" t="s">
        <v>23</v>
      </c>
      <c r="L111" s="23" t="str">
        <f>VLOOKUP(Tabla3[[#This Row],[PROVEEDOR]],'SAPROV (2)'!A:B,2,FALSE)</f>
        <v>04</v>
      </c>
      <c r="M111" t="str">
        <f>VLOOKUP(Tabla3[[#This Row],[SERVICIO]],'SAPROV (2)'!I:J,2,FALSE)</f>
        <v>SERV0060</v>
      </c>
      <c r="N111" t="s">
        <v>611</v>
      </c>
      <c r="P111">
        <f>VLOOKUP(Tabla3[[#This Row],[FECHA]],TASA[],2,FALSE)</f>
        <v>344.51</v>
      </c>
      <c r="Q111" s="32">
        <f t="shared" si="4"/>
        <v>-8.7080200864996673</v>
      </c>
      <c r="R111" t="s">
        <v>1055</v>
      </c>
    </row>
    <row r="112" spans="1:18" x14ac:dyDescent="0.25">
      <c r="A112" s="33">
        <v>46042</v>
      </c>
      <c r="B112" s="1">
        <v>44702001</v>
      </c>
      <c r="C112" s="2" t="s">
        <v>1147</v>
      </c>
      <c r="D112" s="34">
        <v>-3000</v>
      </c>
      <c r="E112" s="22" t="s">
        <v>20</v>
      </c>
      <c r="F112" s="2" t="e">
        <f>VLOOKUP(Tabla3[[#This Row],[CONTABLE]],'SAPROV (2)'!L:M,2,FALSE)</f>
        <v>#N/A</v>
      </c>
      <c r="H112" t="s">
        <v>588</v>
      </c>
      <c r="I112" s="2" t="str">
        <f>VLOOKUP(Tabla3[[#This Row],[Deposito]],'SAPROV (2)'!D:E,2,FALSE)</f>
        <v>A01</v>
      </c>
      <c r="K112" s="23" t="s">
        <v>23</v>
      </c>
      <c r="L112" s="2" t="str">
        <f>VLOOKUP(Tabla3[[#This Row],[PROVEEDOR]],'SAPROV (2)'!A:B,2,FALSE)</f>
        <v>04</v>
      </c>
      <c r="M112" t="str">
        <f>VLOOKUP(Tabla3[[#This Row],[SERVICIO]],'SAPROV (2)'!I:J,2,FALSE)</f>
        <v>SERV0060</v>
      </c>
      <c r="N112" t="s">
        <v>611</v>
      </c>
      <c r="P112">
        <f>VLOOKUP(Tabla3[[#This Row],[FECHA]],TASA[],2,FALSE)</f>
        <v>344.51</v>
      </c>
      <c r="Q112" s="32">
        <f t="shared" si="4"/>
        <v>-8.7080200864996673</v>
      </c>
      <c r="R112" t="s">
        <v>1055</v>
      </c>
    </row>
    <row r="113" spans="1:18" x14ac:dyDescent="0.25">
      <c r="A113" s="33">
        <v>46042</v>
      </c>
      <c r="B113" s="1">
        <v>44702001</v>
      </c>
      <c r="C113" s="2" t="s">
        <v>1147</v>
      </c>
      <c r="D113" s="34">
        <v>-3000</v>
      </c>
      <c r="E113" s="22" t="s">
        <v>20</v>
      </c>
      <c r="F113" s="2" t="e">
        <f>VLOOKUP(Tabla3[[#This Row],[CONTABLE]],'SAPROV (2)'!L:M,2,FALSE)</f>
        <v>#N/A</v>
      </c>
      <c r="H113" t="s">
        <v>588</v>
      </c>
      <c r="I113" s="2" t="str">
        <f>VLOOKUP(Tabla3[[#This Row],[Deposito]],'SAPROV (2)'!D:E,2,FALSE)</f>
        <v>A01</v>
      </c>
      <c r="K113" s="23" t="s">
        <v>23</v>
      </c>
      <c r="L113" s="23" t="str">
        <f>VLOOKUP(Tabla3[[#This Row],[PROVEEDOR]],'SAPROV (2)'!A:B,2,FALSE)</f>
        <v>04</v>
      </c>
      <c r="M113" t="str">
        <f>VLOOKUP(Tabla3[[#This Row],[SERVICIO]],'SAPROV (2)'!I:J,2,FALSE)</f>
        <v>SERV0060</v>
      </c>
      <c r="N113" t="s">
        <v>611</v>
      </c>
      <c r="P113">
        <f>VLOOKUP(Tabla3[[#This Row],[FECHA]],TASA[],2,FALSE)</f>
        <v>344.51</v>
      </c>
      <c r="Q113" s="32">
        <f t="shared" si="4"/>
        <v>-8.7080200864996673</v>
      </c>
      <c r="R113" t="s">
        <v>1055</v>
      </c>
    </row>
    <row r="114" spans="1:18" x14ac:dyDescent="0.25">
      <c r="A114" s="33">
        <v>46042</v>
      </c>
      <c r="B114" s="1">
        <v>13270400626</v>
      </c>
      <c r="C114" s="2" t="s">
        <v>1144</v>
      </c>
      <c r="D114" s="34">
        <v>-258.38</v>
      </c>
      <c r="E114" s="22" t="s">
        <v>20</v>
      </c>
      <c r="F114" s="2" t="e">
        <f>VLOOKUP(Tabla3[[#This Row],[CONTABLE]],'SAPROV (2)'!L:M,2,FALSE)</f>
        <v>#N/A</v>
      </c>
      <c r="H114" t="s">
        <v>588</v>
      </c>
      <c r="I114" s="2" t="str">
        <f>VLOOKUP(Tabla3[[#This Row],[Deposito]],'SAPROV (2)'!D:E,2,FALSE)</f>
        <v>A01</v>
      </c>
      <c r="K114" s="23" t="s">
        <v>23</v>
      </c>
      <c r="L114" s="23" t="str">
        <f>VLOOKUP(Tabla3[[#This Row],[PROVEEDOR]],'SAPROV (2)'!A:B,2,FALSE)</f>
        <v>04</v>
      </c>
      <c r="M114" t="str">
        <f>VLOOKUP(Tabla3[[#This Row],[SERVICIO]],'SAPROV (2)'!I:J,2,FALSE)</f>
        <v>SERV0060</v>
      </c>
      <c r="N114" t="s">
        <v>611</v>
      </c>
      <c r="P114">
        <f>VLOOKUP(Tabla3[[#This Row],[FECHA]],TASA[],2,FALSE)</f>
        <v>344.51</v>
      </c>
      <c r="Q114" s="32">
        <f t="shared" si="4"/>
        <v>-0.7499927433165946</v>
      </c>
      <c r="R114" t="s">
        <v>1055</v>
      </c>
    </row>
    <row r="115" spans="1:18" x14ac:dyDescent="0.25">
      <c r="A115" s="33">
        <v>46042</v>
      </c>
      <c r="B115" s="1">
        <v>3581730002</v>
      </c>
      <c r="C115" s="2" t="s">
        <v>1148</v>
      </c>
      <c r="D115" s="34">
        <v>-254733.62</v>
      </c>
      <c r="E115" s="22" t="s">
        <v>20</v>
      </c>
      <c r="F115" s="2" t="e">
        <f>VLOOKUP(Tabla3[[#This Row],[CONTABLE]],'SAPROV (2)'!L:M,2,FALSE)</f>
        <v>#N/A</v>
      </c>
      <c r="H115" t="s">
        <v>1278</v>
      </c>
      <c r="I115" s="2" t="str">
        <f>VLOOKUP(Tabla3[[#This Row],[Deposito]],'SAPROV (2)'!D:E,2,FALSE)</f>
        <v>06</v>
      </c>
      <c r="K115" s="2" t="s">
        <v>87</v>
      </c>
      <c r="L115" s="2" t="str">
        <f>VLOOKUP(Tabla3[[#This Row],[PROVEEDOR]],'SAPROV (2)'!A:B,2,FALSE)</f>
        <v>29</v>
      </c>
      <c r="M115" t="str">
        <f>VLOOKUP(Tabla3[[#This Row],[SERVICIO]],'SAPROV (2)'!I:J,2,FALSE)</f>
        <v>SERV0067</v>
      </c>
      <c r="N115" t="s">
        <v>698</v>
      </c>
      <c r="P115">
        <f>VLOOKUP(Tabla3[[#This Row],[FECHA]],TASA[],2,FALSE)</f>
        <v>344.51</v>
      </c>
      <c r="Q115" s="32">
        <f t="shared" ref="Q115:Q116" si="5">D115/P115</f>
        <v>-739.40849322225768</v>
      </c>
      <c r="R115" t="s">
        <v>1055</v>
      </c>
    </row>
    <row r="116" spans="1:18" x14ac:dyDescent="0.25">
      <c r="A116" s="33">
        <v>46042</v>
      </c>
      <c r="B116" s="1">
        <v>3581730198</v>
      </c>
      <c r="C116" s="2" t="s">
        <v>1149</v>
      </c>
      <c r="D116" s="34">
        <v>-17579.68</v>
      </c>
      <c r="E116" s="22" t="s">
        <v>20</v>
      </c>
      <c r="F116" s="2" t="e">
        <f>VLOOKUP(Tabla3[[#This Row],[CONTABLE]],'SAPROV (2)'!L:M,2,FALSE)</f>
        <v>#N/A</v>
      </c>
      <c r="H116" t="s">
        <v>1278</v>
      </c>
      <c r="I116" s="2" t="str">
        <f>VLOOKUP(Tabla3[[#This Row],[Deposito]],'SAPROV (2)'!D:E,2,FALSE)</f>
        <v>06</v>
      </c>
      <c r="K116" s="2" t="s">
        <v>87</v>
      </c>
      <c r="L116" s="23" t="str">
        <f>VLOOKUP(Tabla3[[#This Row],[PROVEEDOR]],'SAPROV (2)'!A:B,2,FALSE)</f>
        <v>29</v>
      </c>
      <c r="M116" t="str">
        <f>VLOOKUP(Tabla3[[#This Row],[SERVICIO]],'SAPROV (2)'!I:J,2,FALSE)</f>
        <v>SERV0067</v>
      </c>
      <c r="N116" t="s">
        <v>698</v>
      </c>
      <c r="P116">
        <f>VLOOKUP(Tabla3[[#This Row],[FECHA]],TASA[],2,FALSE)</f>
        <v>344.51</v>
      </c>
      <c r="Q116" s="32">
        <f t="shared" si="5"/>
        <v>-51.028068851412151</v>
      </c>
      <c r="R116" t="s">
        <v>1055</v>
      </c>
    </row>
    <row r="117" spans="1:18" x14ac:dyDescent="0.25">
      <c r="A117" s="33">
        <v>46043</v>
      </c>
      <c r="B117" s="1">
        <v>13272042365</v>
      </c>
      <c r="C117" s="2" t="s">
        <v>1144</v>
      </c>
      <c r="D117" s="34">
        <v>-350.77</v>
      </c>
      <c r="E117" s="22" t="s">
        <v>20</v>
      </c>
      <c r="F117" s="2" t="e">
        <f>VLOOKUP(Tabla3[[#This Row],[CONTABLE]],'SAPROV (2)'!L:M,2,FALSE)</f>
        <v>#N/A</v>
      </c>
      <c r="H117" t="s">
        <v>588</v>
      </c>
      <c r="I117" s="2" t="str">
        <f>VLOOKUP(Tabla3[[#This Row],[Deposito]],'SAPROV (2)'!D:E,2,FALSE)</f>
        <v>A01</v>
      </c>
      <c r="K117" s="23" t="s">
        <v>23</v>
      </c>
      <c r="L117" s="23" t="str">
        <f>VLOOKUP(Tabla3[[#This Row],[PROVEEDOR]],'SAPROV (2)'!A:B,2,FALSE)</f>
        <v>04</v>
      </c>
      <c r="M117" t="str">
        <f>VLOOKUP(Tabla3[[#This Row],[SERVICIO]],'SAPROV (2)'!I:J,2,FALSE)</f>
        <v>SERV0060</v>
      </c>
      <c r="N117" t="s">
        <v>611</v>
      </c>
      <c r="P117">
        <f>VLOOKUP(Tabla3[[#This Row],[FECHA]],TASA[],2,FALSE)</f>
        <v>347.26</v>
      </c>
      <c r="Q117" s="32">
        <f t="shared" ref="Q117:Q131" si="6">D117/P117</f>
        <v>-1.0101077002822092</v>
      </c>
      <c r="R117" t="s">
        <v>1055</v>
      </c>
    </row>
    <row r="118" spans="1:18" x14ac:dyDescent="0.25">
      <c r="A118" s="33">
        <v>46043</v>
      </c>
      <c r="B118" s="1">
        <v>72101461</v>
      </c>
      <c r="C118" s="2" t="s">
        <v>1150</v>
      </c>
      <c r="D118" s="34">
        <v>-40000</v>
      </c>
      <c r="E118" s="22" t="s">
        <v>20</v>
      </c>
      <c r="F118" s="2" t="e">
        <f>VLOOKUP(Tabla3[[#This Row],[CONTABLE]],'SAPROV (2)'!L:M,2,FALSE)</f>
        <v>#N/A</v>
      </c>
      <c r="H118" t="s">
        <v>588</v>
      </c>
      <c r="I118" s="2" t="str">
        <f>VLOOKUP(Tabla3[[#This Row],[Deposito]],'SAPROV (2)'!D:E,2,FALSE)</f>
        <v>A01</v>
      </c>
      <c r="K118" s="23" t="s">
        <v>23</v>
      </c>
      <c r="L118" s="2" t="str">
        <f>VLOOKUP(Tabla3[[#This Row],[PROVEEDOR]],'SAPROV (2)'!A:B,2,FALSE)</f>
        <v>04</v>
      </c>
      <c r="M118" t="str">
        <f>VLOOKUP(Tabla3[[#This Row],[SERVICIO]],'SAPROV (2)'!I:J,2,FALSE)</f>
        <v>SERV0060</v>
      </c>
      <c r="N118" t="s">
        <v>611</v>
      </c>
      <c r="P118">
        <f>VLOOKUP(Tabla3[[#This Row],[FECHA]],TASA[],2,FALSE)</f>
        <v>347.26</v>
      </c>
      <c r="Q118" s="32">
        <f t="shared" si="6"/>
        <v>-115.18746760352474</v>
      </c>
      <c r="R118" t="s">
        <v>1055</v>
      </c>
    </row>
    <row r="119" spans="1:18" x14ac:dyDescent="0.25">
      <c r="A119" s="33">
        <v>46044</v>
      </c>
      <c r="B119" s="1">
        <v>13272630771</v>
      </c>
      <c r="C119" s="2" t="s">
        <v>1144</v>
      </c>
      <c r="D119" s="34">
        <v>-3000</v>
      </c>
      <c r="E119" s="22" t="s">
        <v>20</v>
      </c>
      <c r="F119" s="2" t="e">
        <f>VLOOKUP(Tabla3[[#This Row],[CONTABLE]],'SAPROV (2)'!L:M,2,FALSE)</f>
        <v>#N/A</v>
      </c>
      <c r="H119" t="s">
        <v>588</v>
      </c>
      <c r="I119" s="2" t="str">
        <f>VLOOKUP(Tabla3[[#This Row],[Deposito]],'SAPROV (2)'!D:E,2,FALSE)</f>
        <v>A01</v>
      </c>
      <c r="K119" s="23" t="s">
        <v>23</v>
      </c>
      <c r="L119" s="23" t="str">
        <f>VLOOKUP(Tabla3[[#This Row],[PROVEEDOR]],'SAPROV (2)'!A:B,2,FALSE)</f>
        <v>04</v>
      </c>
      <c r="M119" t="str">
        <f>VLOOKUP(Tabla3[[#This Row],[SERVICIO]],'SAPROV (2)'!I:J,2,FALSE)</f>
        <v>SERV0060</v>
      </c>
      <c r="N119" t="s">
        <v>611</v>
      </c>
      <c r="P119">
        <f>VLOOKUP(Tabla3[[#This Row],[FECHA]],TASA[],2,FALSE)</f>
        <v>349.93</v>
      </c>
      <c r="Q119" s="32">
        <f t="shared" si="6"/>
        <v>-8.5731432000685857</v>
      </c>
      <c r="R119" t="s">
        <v>1055</v>
      </c>
    </row>
    <row r="120" spans="1:18" x14ac:dyDescent="0.25">
      <c r="A120" s="33">
        <v>46044</v>
      </c>
      <c r="B120" s="1">
        <v>13272631551</v>
      </c>
      <c r="C120" s="2" t="s">
        <v>1144</v>
      </c>
      <c r="D120" s="34">
        <v>-1500</v>
      </c>
      <c r="E120" s="22" t="s">
        <v>20</v>
      </c>
      <c r="F120" s="2" t="e">
        <f>VLOOKUP(Tabla3[[#This Row],[CONTABLE]],'SAPROV (2)'!L:M,2,FALSE)</f>
        <v>#N/A</v>
      </c>
      <c r="H120" t="s">
        <v>588</v>
      </c>
      <c r="I120" s="2" t="str">
        <f>VLOOKUP(Tabla3[[#This Row],[Deposito]],'SAPROV (2)'!D:E,2,FALSE)</f>
        <v>A01</v>
      </c>
      <c r="K120" s="23" t="s">
        <v>23</v>
      </c>
      <c r="L120" s="23" t="str">
        <f>VLOOKUP(Tabla3[[#This Row],[PROVEEDOR]],'SAPROV (2)'!A:B,2,FALSE)</f>
        <v>04</v>
      </c>
      <c r="M120" t="str">
        <f>VLOOKUP(Tabla3[[#This Row],[SERVICIO]],'SAPROV (2)'!I:J,2,FALSE)</f>
        <v>SERV0060</v>
      </c>
      <c r="N120" t="s">
        <v>611</v>
      </c>
      <c r="P120">
        <f>VLOOKUP(Tabla3[[#This Row],[FECHA]],TASA[],2,FALSE)</f>
        <v>349.93</v>
      </c>
      <c r="Q120" s="32">
        <f t="shared" si="6"/>
        <v>-4.2865716000342928</v>
      </c>
      <c r="R120" t="s">
        <v>1055</v>
      </c>
    </row>
    <row r="121" spans="1:18" x14ac:dyDescent="0.25">
      <c r="A121" s="33">
        <v>46045</v>
      </c>
      <c r="B121" s="1">
        <v>80350112</v>
      </c>
      <c r="C121" s="2" t="s">
        <v>1144</v>
      </c>
      <c r="D121" s="34">
        <v>-2729.94</v>
      </c>
      <c r="E121" s="22" t="s">
        <v>20</v>
      </c>
      <c r="F121" s="2" t="e">
        <f>VLOOKUP(Tabla3[[#This Row],[CONTABLE]],'SAPROV (2)'!L:M,2,FALSE)</f>
        <v>#N/A</v>
      </c>
      <c r="H121" t="s">
        <v>588</v>
      </c>
      <c r="I121" s="2" t="str">
        <f>VLOOKUP(Tabla3[[#This Row],[Deposito]],'SAPROV (2)'!D:E,2,FALSE)</f>
        <v>A01</v>
      </c>
      <c r="K121" s="23" t="s">
        <v>23</v>
      </c>
      <c r="L121" s="2" t="str">
        <f>VLOOKUP(Tabla3[[#This Row],[PROVEEDOR]],'SAPROV (2)'!A:B,2,FALSE)</f>
        <v>04</v>
      </c>
      <c r="M121" t="str">
        <f>VLOOKUP(Tabla3[[#This Row],[SERVICIO]],'SAPROV (2)'!I:J,2,FALSE)</f>
        <v>SERV0060</v>
      </c>
      <c r="N121" t="s">
        <v>611</v>
      </c>
      <c r="P121">
        <f>VLOOKUP(Tabla3[[#This Row],[FECHA]],TASA[],2,FALSE)</f>
        <v>352.71</v>
      </c>
      <c r="Q121" s="32">
        <f t="shared" si="6"/>
        <v>-7.7398996342604409</v>
      </c>
      <c r="R121" t="s">
        <v>1055</v>
      </c>
    </row>
    <row r="122" spans="1:18" x14ac:dyDescent="0.25">
      <c r="A122" s="33">
        <v>46045</v>
      </c>
      <c r="B122" s="1">
        <v>80426258</v>
      </c>
      <c r="C122" s="2" t="s">
        <v>1144</v>
      </c>
      <c r="D122" s="34">
        <v>-1364.97</v>
      </c>
      <c r="E122" s="22" t="s">
        <v>20</v>
      </c>
      <c r="F122" s="2" t="e">
        <f>VLOOKUP(Tabla3[[#This Row],[CONTABLE]],'SAPROV (2)'!L:M,2,FALSE)</f>
        <v>#N/A</v>
      </c>
      <c r="H122" t="s">
        <v>588</v>
      </c>
      <c r="I122" s="2" t="str">
        <f>VLOOKUP(Tabla3[[#This Row],[Deposito]],'SAPROV (2)'!D:E,2,FALSE)</f>
        <v>A01</v>
      </c>
      <c r="K122" s="23" t="s">
        <v>23</v>
      </c>
      <c r="L122" s="23" t="str">
        <f>VLOOKUP(Tabla3[[#This Row],[PROVEEDOR]],'SAPROV (2)'!A:B,2,FALSE)</f>
        <v>04</v>
      </c>
      <c r="M122" t="str">
        <f>VLOOKUP(Tabla3[[#This Row],[SERVICIO]],'SAPROV (2)'!I:J,2,FALSE)</f>
        <v>SERV0060</v>
      </c>
      <c r="N122" t="s">
        <v>611</v>
      </c>
      <c r="P122">
        <f>VLOOKUP(Tabla3[[#This Row],[FECHA]],TASA[],2,FALSE)</f>
        <v>352.71</v>
      </c>
      <c r="Q122" s="32">
        <f t="shared" si="6"/>
        <v>-3.8699498171302205</v>
      </c>
      <c r="R122" t="s">
        <v>1055</v>
      </c>
    </row>
    <row r="123" spans="1:18" x14ac:dyDescent="0.25">
      <c r="A123" s="33">
        <v>46049</v>
      </c>
      <c r="B123" s="1">
        <v>127012645</v>
      </c>
      <c r="C123" s="2" t="s">
        <v>1151</v>
      </c>
      <c r="D123" s="34">
        <v>-107677.41</v>
      </c>
      <c r="E123" s="22" t="s">
        <v>20</v>
      </c>
      <c r="F123" s="2" t="e">
        <f>VLOOKUP(Tabla3[[#This Row],[CONTABLE]],'SAPROV (2)'!L:M,2,FALSE)</f>
        <v>#N/A</v>
      </c>
      <c r="H123" t="s">
        <v>588</v>
      </c>
      <c r="I123" s="2" t="str">
        <f>VLOOKUP(Tabla3[[#This Row],[Deposito]],'SAPROV (2)'!D:E,2,FALSE)</f>
        <v>A01</v>
      </c>
      <c r="K123" s="23" t="s">
        <v>23</v>
      </c>
      <c r="L123" s="23" t="str">
        <f>VLOOKUP(Tabla3[[#This Row],[PROVEEDOR]],'SAPROV (2)'!A:B,2,FALSE)</f>
        <v>04</v>
      </c>
      <c r="M123" t="str">
        <f>VLOOKUP(Tabla3[[#This Row],[SERVICIO]],'SAPROV (2)'!I:J,2,FALSE)</f>
        <v>SERV0060</v>
      </c>
      <c r="N123" t="s">
        <v>611</v>
      </c>
      <c r="P123">
        <f>VLOOKUP(Tabla3[[#This Row],[FECHA]],TASA[],2,FALSE)</f>
        <v>358.92</v>
      </c>
      <c r="Q123" s="32">
        <f t="shared" si="6"/>
        <v>-300.00392845202271</v>
      </c>
      <c r="R123" t="s">
        <v>1055</v>
      </c>
    </row>
    <row r="124" spans="1:18" x14ac:dyDescent="0.25">
      <c r="A124" s="33">
        <v>46051</v>
      </c>
      <c r="B124" s="1">
        <v>13276245292</v>
      </c>
      <c r="C124" s="2" t="s">
        <v>1144</v>
      </c>
      <c r="D124" s="34">
        <v>-3000</v>
      </c>
      <c r="E124" s="22" t="s">
        <v>20</v>
      </c>
      <c r="F124" s="2" t="e">
        <f>VLOOKUP(Tabla3[[#This Row],[CONTABLE]],'SAPROV (2)'!L:M,2,FALSE)</f>
        <v>#N/A</v>
      </c>
      <c r="H124" t="s">
        <v>588</v>
      </c>
      <c r="I124" s="2" t="str">
        <f>VLOOKUP(Tabla3[[#This Row],[Deposito]],'SAPROV (2)'!D:E,2,FALSE)</f>
        <v>A01</v>
      </c>
      <c r="K124" s="23" t="s">
        <v>23</v>
      </c>
      <c r="L124" s="2" t="str">
        <f>VLOOKUP(Tabla3[[#This Row],[PROVEEDOR]],'SAPROV (2)'!A:B,2,FALSE)</f>
        <v>04</v>
      </c>
      <c r="M124" t="str">
        <f>VLOOKUP(Tabla3[[#This Row],[SERVICIO]],'SAPROV (2)'!I:J,2,FALSE)</f>
        <v>SERV0060</v>
      </c>
      <c r="N124" t="s">
        <v>611</v>
      </c>
      <c r="P124">
        <f>VLOOKUP(Tabla3[[#This Row],[FECHA]],TASA[],2,FALSE)</f>
        <v>363.66</v>
      </c>
      <c r="Q124" s="32">
        <f t="shared" si="6"/>
        <v>-8.2494637848539831</v>
      </c>
      <c r="R124" t="s">
        <v>1055</v>
      </c>
    </row>
    <row r="125" spans="1:18" x14ac:dyDescent="0.25">
      <c r="A125" s="33">
        <v>46051</v>
      </c>
      <c r="B125" s="1">
        <v>13276246483</v>
      </c>
      <c r="C125" s="2" t="s">
        <v>1144</v>
      </c>
      <c r="D125" s="34">
        <v>-1500</v>
      </c>
      <c r="E125" s="22" t="s">
        <v>20</v>
      </c>
      <c r="F125" s="2" t="e">
        <f>VLOOKUP(Tabla3[[#This Row],[CONTABLE]],'SAPROV (2)'!L:M,2,FALSE)</f>
        <v>#N/A</v>
      </c>
      <c r="H125" t="s">
        <v>588</v>
      </c>
      <c r="I125" s="2" t="str">
        <f>VLOOKUP(Tabla3[[#This Row],[Deposito]],'SAPROV (2)'!D:E,2,FALSE)</f>
        <v>A01</v>
      </c>
      <c r="K125" s="23" t="s">
        <v>23</v>
      </c>
      <c r="L125" s="23" t="str">
        <f>VLOOKUP(Tabla3[[#This Row],[PROVEEDOR]],'SAPROV (2)'!A:B,2,FALSE)</f>
        <v>04</v>
      </c>
      <c r="M125" t="str">
        <f>VLOOKUP(Tabla3[[#This Row],[SERVICIO]],'SAPROV (2)'!I:J,2,FALSE)</f>
        <v>SERV0060</v>
      </c>
      <c r="N125" t="s">
        <v>611</v>
      </c>
      <c r="P125">
        <f>VLOOKUP(Tabla3[[#This Row],[FECHA]],TASA[],2,FALSE)</f>
        <v>363.66</v>
      </c>
      <c r="Q125" s="32">
        <f t="shared" si="6"/>
        <v>-4.1247318924269916</v>
      </c>
      <c r="R125" t="s">
        <v>1055</v>
      </c>
    </row>
    <row r="126" spans="1:18" x14ac:dyDescent="0.25">
      <c r="A126" s="33">
        <v>46051</v>
      </c>
      <c r="B126" s="1">
        <v>13276283314</v>
      </c>
      <c r="C126" s="2" t="s">
        <v>1144</v>
      </c>
      <c r="D126" s="34">
        <v>-1045.9000000000001</v>
      </c>
      <c r="E126" s="22" t="s">
        <v>20</v>
      </c>
      <c r="F126" s="2" t="e">
        <f>VLOOKUP(Tabla3[[#This Row],[CONTABLE]],'SAPROV (2)'!L:M,2,FALSE)</f>
        <v>#N/A</v>
      </c>
      <c r="H126" t="s">
        <v>588</v>
      </c>
      <c r="I126" s="2" t="str">
        <f>VLOOKUP(Tabla3[[#This Row],[Deposito]],'SAPROV (2)'!D:E,2,FALSE)</f>
        <v>A01</v>
      </c>
      <c r="K126" s="23" t="s">
        <v>23</v>
      </c>
      <c r="L126" s="23" t="str">
        <f>VLOOKUP(Tabla3[[#This Row],[PROVEEDOR]],'SAPROV (2)'!A:B,2,FALSE)</f>
        <v>04</v>
      </c>
      <c r="M126" t="str">
        <f>VLOOKUP(Tabla3[[#This Row],[SERVICIO]],'SAPROV (2)'!I:J,2,FALSE)</f>
        <v>SERV0060</v>
      </c>
      <c r="N126" t="s">
        <v>611</v>
      </c>
      <c r="P126">
        <f>VLOOKUP(Tabla3[[#This Row],[FECHA]],TASA[],2,FALSE)</f>
        <v>363.66</v>
      </c>
      <c r="Q126" s="32">
        <f t="shared" si="6"/>
        <v>-2.876038057526261</v>
      </c>
      <c r="R126" t="s">
        <v>1055</v>
      </c>
    </row>
    <row r="127" spans="1:18" x14ac:dyDescent="0.25">
      <c r="A127" s="33">
        <v>46051</v>
      </c>
      <c r="B127" s="1">
        <v>13276283776</v>
      </c>
      <c r="C127" s="2" t="s">
        <v>1144</v>
      </c>
      <c r="D127" s="34">
        <v>-2425.56</v>
      </c>
      <c r="E127" s="22" t="s">
        <v>20</v>
      </c>
      <c r="F127" s="2" t="e">
        <f>VLOOKUP(Tabla3[[#This Row],[CONTABLE]],'SAPROV (2)'!L:M,2,FALSE)</f>
        <v>#N/A</v>
      </c>
      <c r="H127" t="s">
        <v>588</v>
      </c>
      <c r="I127" s="2" t="str">
        <f>VLOOKUP(Tabla3[[#This Row],[Deposito]],'SAPROV (2)'!D:E,2,FALSE)</f>
        <v>A01</v>
      </c>
      <c r="K127" s="23" t="s">
        <v>23</v>
      </c>
      <c r="L127" s="2" t="str">
        <f>VLOOKUP(Tabla3[[#This Row],[PROVEEDOR]],'SAPROV (2)'!A:B,2,FALSE)</f>
        <v>04</v>
      </c>
      <c r="M127" t="str">
        <f>VLOOKUP(Tabla3[[#This Row],[SERVICIO]],'SAPROV (2)'!I:J,2,FALSE)</f>
        <v>SERV0060</v>
      </c>
      <c r="N127" t="s">
        <v>611</v>
      </c>
      <c r="P127">
        <f>VLOOKUP(Tabla3[[#This Row],[FECHA]],TASA[],2,FALSE)</f>
        <v>363.66</v>
      </c>
      <c r="Q127" s="32">
        <f t="shared" si="6"/>
        <v>-6.669856459330143</v>
      </c>
      <c r="R127" t="s">
        <v>1055</v>
      </c>
    </row>
    <row r="128" spans="1:18" x14ac:dyDescent="0.25">
      <c r="A128" s="33">
        <v>46051</v>
      </c>
      <c r="B128" s="1">
        <v>13276284183</v>
      </c>
      <c r="C128" s="2" t="s">
        <v>1144</v>
      </c>
      <c r="D128" s="34">
        <v>-180.03</v>
      </c>
      <c r="E128" s="22" t="s">
        <v>20</v>
      </c>
      <c r="F128" s="2" t="e">
        <f>VLOOKUP(Tabla3[[#This Row],[CONTABLE]],'SAPROV (2)'!L:M,2,FALSE)</f>
        <v>#N/A</v>
      </c>
      <c r="H128" t="s">
        <v>588</v>
      </c>
      <c r="I128" s="2" t="str">
        <f>VLOOKUP(Tabla3[[#This Row],[Deposito]],'SAPROV (2)'!D:E,2,FALSE)</f>
        <v>A01</v>
      </c>
      <c r="K128" s="23" t="s">
        <v>23</v>
      </c>
      <c r="L128" s="23" t="str">
        <f>VLOOKUP(Tabla3[[#This Row],[PROVEEDOR]],'SAPROV (2)'!A:B,2,FALSE)</f>
        <v>04</v>
      </c>
      <c r="M128" t="str">
        <f>VLOOKUP(Tabla3[[#This Row],[SERVICIO]],'SAPROV (2)'!I:J,2,FALSE)</f>
        <v>SERV0060</v>
      </c>
      <c r="N128" t="s">
        <v>611</v>
      </c>
      <c r="P128">
        <f>VLOOKUP(Tabla3[[#This Row],[FECHA]],TASA[],2,FALSE)</f>
        <v>363.66</v>
      </c>
      <c r="Q128" s="32">
        <f t="shared" si="6"/>
        <v>-0.49505032172908758</v>
      </c>
      <c r="R128" t="s">
        <v>1055</v>
      </c>
    </row>
    <row r="129" spans="1:18" x14ac:dyDescent="0.25">
      <c r="A129" s="33">
        <v>46051</v>
      </c>
      <c r="B129" s="1">
        <v>26012969039</v>
      </c>
      <c r="C129" s="2" t="s">
        <v>1152</v>
      </c>
      <c r="D129" s="34">
        <v>-203</v>
      </c>
      <c r="E129" s="22" t="s">
        <v>20</v>
      </c>
      <c r="F129" s="2" t="e">
        <f>VLOOKUP(Tabla3[[#This Row],[CONTABLE]],'SAPROV (2)'!L:M,2,FALSE)</f>
        <v>#N/A</v>
      </c>
      <c r="H129" t="s">
        <v>588</v>
      </c>
      <c r="I129" s="2" t="str">
        <f>VLOOKUP(Tabla3[[#This Row],[Deposito]],'SAPROV (2)'!D:E,2,FALSE)</f>
        <v>A01</v>
      </c>
      <c r="K129" s="23" t="s">
        <v>23</v>
      </c>
      <c r="L129" s="23" t="str">
        <f>VLOOKUP(Tabla3[[#This Row],[PROVEEDOR]],'SAPROV (2)'!A:B,2,FALSE)</f>
        <v>04</v>
      </c>
      <c r="M129" t="str">
        <f>VLOOKUP(Tabla3[[#This Row],[SERVICIO]],'SAPROV (2)'!I:J,2,FALSE)</f>
        <v>SERV0060</v>
      </c>
      <c r="N129" t="s">
        <v>611</v>
      </c>
      <c r="P129">
        <f>VLOOKUP(Tabla3[[#This Row],[FECHA]],TASA[],2,FALSE)</f>
        <v>363.66</v>
      </c>
      <c r="Q129" s="32">
        <f t="shared" si="6"/>
        <v>-0.55821371610845294</v>
      </c>
      <c r="R129" t="s">
        <v>1055</v>
      </c>
    </row>
    <row r="130" spans="1:18" x14ac:dyDescent="0.25">
      <c r="A130" s="33">
        <v>46052</v>
      </c>
      <c r="B130" s="1">
        <v>83957926</v>
      </c>
      <c r="C130" s="2" t="s">
        <v>1144</v>
      </c>
      <c r="D130" s="34">
        <v>-352.5</v>
      </c>
      <c r="E130" s="22" t="s">
        <v>20</v>
      </c>
      <c r="F130" s="2" t="e">
        <f>VLOOKUP(Tabla3[[#This Row],[CONTABLE]],'SAPROV (2)'!L:M,2,FALSE)</f>
        <v>#N/A</v>
      </c>
      <c r="H130" t="s">
        <v>588</v>
      </c>
      <c r="I130" s="2" t="str">
        <f>VLOOKUP(Tabla3[[#This Row],[Deposito]],'SAPROV (2)'!D:E,2,FALSE)</f>
        <v>A01</v>
      </c>
      <c r="K130" s="23" t="s">
        <v>23</v>
      </c>
      <c r="L130" s="2" t="str">
        <f>VLOOKUP(Tabla3[[#This Row],[PROVEEDOR]],'SAPROV (2)'!A:B,2,FALSE)</f>
        <v>04</v>
      </c>
      <c r="M130" t="str">
        <f>VLOOKUP(Tabla3[[#This Row],[SERVICIO]],'SAPROV (2)'!I:J,2,FALSE)</f>
        <v>SERV0060</v>
      </c>
      <c r="N130" t="s">
        <v>611</v>
      </c>
      <c r="P130">
        <f>VLOOKUP(Tabla3[[#This Row],[FECHA]],TASA[],2,FALSE)</f>
        <v>367.31</v>
      </c>
      <c r="Q130" s="32">
        <f t="shared" si="6"/>
        <v>-0.95967983447224414</v>
      </c>
      <c r="R130" t="s">
        <v>1055</v>
      </c>
    </row>
    <row r="131" spans="1:18" x14ac:dyDescent="0.25">
      <c r="A131" s="33">
        <v>46052</v>
      </c>
      <c r="B131" s="1">
        <v>13276700994</v>
      </c>
      <c r="C131" s="2" t="s">
        <v>1144</v>
      </c>
      <c r="D131" s="34">
        <v>-3000</v>
      </c>
      <c r="E131" s="22" t="s">
        <v>20</v>
      </c>
      <c r="F131" s="2" t="e">
        <f>VLOOKUP(Tabla3[[#This Row],[CONTABLE]],'SAPROV (2)'!L:M,2,FALSE)</f>
        <v>#N/A</v>
      </c>
      <c r="H131" t="s">
        <v>588</v>
      </c>
      <c r="I131" s="2" t="str">
        <f>VLOOKUP(Tabla3[[#This Row],[Deposito]],'SAPROV (2)'!D:E,2,FALSE)</f>
        <v>A01</v>
      </c>
      <c r="K131" s="23" t="s">
        <v>23</v>
      </c>
      <c r="L131" s="23" t="str">
        <f>VLOOKUP(Tabla3[[#This Row],[PROVEEDOR]],'SAPROV (2)'!A:B,2,FALSE)</f>
        <v>04</v>
      </c>
      <c r="M131" t="str">
        <f>VLOOKUP(Tabla3[[#This Row],[SERVICIO]],'SAPROV (2)'!I:J,2,FALSE)</f>
        <v>SERV0060</v>
      </c>
      <c r="N131" t="s">
        <v>611</v>
      </c>
      <c r="P131">
        <f>VLOOKUP(Tabla3[[#This Row],[FECHA]],TASA[],2,FALSE)</f>
        <v>367.31</v>
      </c>
      <c r="Q131" s="32">
        <f t="shared" si="6"/>
        <v>-8.1674879529552697</v>
      </c>
      <c r="R131" t="s">
        <v>1055</v>
      </c>
    </row>
    <row r="132" spans="1:18" x14ac:dyDescent="0.25">
      <c r="A132" s="33">
        <v>46052</v>
      </c>
      <c r="B132" s="1">
        <v>13276701937</v>
      </c>
      <c r="C132" s="2" t="s">
        <v>1144</v>
      </c>
      <c r="D132" s="34">
        <v>-1500</v>
      </c>
      <c r="E132" s="22" t="s">
        <v>20</v>
      </c>
      <c r="F132" s="2" t="e">
        <f>VLOOKUP(Tabla3[[#This Row],[CONTABLE]],'SAPROV (2)'!L:M,2,FALSE)</f>
        <v>#N/A</v>
      </c>
      <c r="H132" t="s">
        <v>588</v>
      </c>
      <c r="I132" s="2" t="str">
        <f>VLOOKUP(Tabla3[[#This Row],[Deposito]],'SAPROV (2)'!D:E,2,FALSE)</f>
        <v>A01</v>
      </c>
      <c r="K132" s="23" t="s">
        <v>23</v>
      </c>
      <c r="L132" s="23" t="str">
        <f>VLOOKUP(Tabla3[[#This Row],[PROVEEDOR]],'SAPROV (2)'!A:B,2,FALSE)</f>
        <v>04</v>
      </c>
      <c r="M132" t="str">
        <f>VLOOKUP(Tabla3[[#This Row],[SERVICIO]],'SAPROV (2)'!I:J,2,FALSE)</f>
        <v>SERV0060</v>
      </c>
      <c r="N132" t="s">
        <v>611</v>
      </c>
      <c r="P132">
        <f>VLOOKUP(Tabla3[[#This Row],[FECHA]],TASA[],2,FALSE)</f>
        <v>367.31</v>
      </c>
      <c r="Q132" s="32">
        <f t="shared" ref="Q132:Q134" si="7">D132/P132</f>
        <v>-4.0837439764776349</v>
      </c>
      <c r="R132" t="s">
        <v>1055</v>
      </c>
    </row>
    <row r="133" spans="1:18" x14ac:dyDescent="0.25">
      <c r="A133" s="33">
        <v>46052</v>
      </c>
      <c r="B133" s="1">
        <v>13276844671</v>
      </c>
      <c r="C133" s="2" t="s">
        <v>1475</v>
      </c>
      <c r="D133" s="34">
        <v>-852.45</v>
      </c>
      <c r="E133" s="22" t="s">
        <v>20</v>
      </c>
      <c r="F133" s="2" t="e">
        <f>VLOOKUP(Tabla3[[#This Row],[CONTABLE]],'SAPROV (2)'!L:M,2,FALSE)</f>
        <v>#N/A</v>
      </c>
      <c r="H133" t="s">
        <v>1281</v>
      </c>
      <c r="I133" s="2" t="str">
        <f>VLOOKUP(Tabla3[[#This Row],[Deposito]],'SAPROV (2)'!D:E,2,FALSE)</f>
        <v>07</v>
      </c>
      <c r="K133" s="2" t="s">
        <v>101</v>
      </c>
      <c r="L133" s="2" t="str">
        <f>VLOOKUP(Tabla3[[#This Row],[PROVEEDOR]],'SAPROV (2)'!A:B,2,FALSE)</f>
        <v>36</v>
      </c>
      <c r="M133" t="str">
        <f>VLOOKUP(Tabla3[[#This Row],[SERVICIO]],'SAPROV (2)'!I:J,2,FALSE)</f>
        <v>SERV0011</v>
      </c>
      <c r="N133" t="s">
        <v>927</v>
      </c>
      <c r="P133">
        <f>VLOOKUP(Tabla3[[#This Row],[FECHA]],TASA[],2,FALSE)</f>
        <v>367.31</v>
      </c>
      <c r="Q133" s="32">
        <f t="shared" si="7"/>
        <v>-2.3207917018322397</v>
      </c>
      <c r="R133" t="s">
        <v>1055</v>
      </c>
    </row>
    <row r="134" spans="1:18" x14ac:dyDescent="0.25">
      <c r="A134" s="33">
        <v>46052</v>
      </c>
      <c r="B134" s="1">
        <v>13276844671</v>
      </c>
      <c r="C134" s="2" t="s">
        <v>1144</v>
      </c>
      <c r="D134" s="34">
        <v>-2.5499999999999998</v>
      </c>
      <c r="E134" s="22" t="s">
        <v>20</v>
      </c>
      <c r="F134" s="2" t="e">
        <f>VLOOKUP(Tabla3[[#This Row],[CONTABLE]],'SAPROV (2)'!L:M,2,FALSE)</f>
        <v>#N/A</v>
      </c>
      <c r="H134" t="s">
        <v>588</v>
      </c>
      <c r="I134" s="2" t="str">
        <f>VLOOKUP(Tabla3[[#This Row],[Deposito]],'SAPROV (2)'!D:E,2,FALSE)</f>
        <v>A01</v>
      </c>
      <c r="K134" s="23" t="s">
        <v>23</v>
      </c>
      <c r="L134" s="23" t="str">
        <f>VLOOKUP(Tabla3[[#This Row],[PROVEEDOR]],'SAPROV (2)'!A:B,2,FALSE)</f>
        <v>04</v>
      </c>
      <c r="M134" t="str">
        <f>VLOOKUP(Tabla3[[#This Row],[SERVICIO]],'SAPROV (2)'!I:J,2,FALSE)</f>
        <v>SERV0060</v>
      </c>
      <c r="N134" t="s">
        <v>611</v>
      </c>
      <c r="P134">
        <f>VLOOKUP(Tabla3[[#This Row],[FECHA]],TASA[],2,FALSE)</f>
        <v>367.31</v>
      </c>
      <c r="Q134" s="32">
        <f t="shared" si="7"/>
        <v>-6.9423647600119782E-3</v>
      </c>
      <c r="R134" t="s">
        <v>1055</v>
      </c>
    </row>
    <row r="135" spans="1:18" x14ac:dyDescent="0.25">
      <c r="A135" s="33">
        <v>46052</v>
      </c>
      <c r="B135" s="1">
        <v>0</v>
      </c>
      <c r="C135" s="2" t="s">
        <v>1153</v>
      </c>
      <c r="D135" s="34">
        <v>-8</v>
      </c>
      <c r="E135" s="22" t="s">
        <v>20</v>
      </c>
      <c r="F135" s="2" t="e">
        <f>VLOOKUP(Tabla3[[#This Row],[CONTABLE]],'SAPROV (2)'!L:M,2,FALSE)</f>
        <v>#N/A</v>
      </c>
      <c r="H135" t="s">
        <v>588</v>
      </c>
      <c r="I135" s="2" t="str">
        <f>VLOOKUP(Tabla3[[#This Row],[Deposito]],'SAPROV (2)'!D:E,2,FALSE)</f>
        <v>A01</v>
      </c>
      <c r="K135" s="23" t="s">
        <v>23</v>
      </c>
      <c r="L135" s="23" t="str">
        <f>VLOOKUP(Tabla3[[#This Row],[PROVEEDOR]],'SAPROV (2)'!A:B,2,FALSE)</f>
        <v>04</v>
      </c>
      <c r="M135" t="str">
        <f>VLOOKUP(Tabla3[[#This Row],[SERVICIO]],'SAPROV (2)'!I:J,2,FALSE)</f>
        <v>SERV0060</v>
      </c>
      <c r="N135" t="s">
        <v>611</v>
      </c>
      <c r="P135">
        <f>VLOOKUP(Tabla3[[#This Row],[FECHA]],TASA[],2,FALSE)</f>
        <v>367.31</v>
      </c>
      <c r="Q135" s="32">
        <f t="shared" ref="Q135:Q136" si="8">D135/P135</f>
        <v>-2.1779967874547383E-2</v>
      </c>
      <c r="R135" t="s">
        <v>1055</v>
      </c>
    </row>
    <row r="136" spans="1:18" x14ac:dyDescent="0.25">
      <c r="A136" s="33">
        <v>46052</v>
      </c>
      <c r="B136" s="1">
        <v>0</v>
      </c>
      <c r="C136" s="2" t="s">
        <v>1154</v>
      </c>
      <c r="D136" s="34">
        <v>-8</v>
      </c>
      <c r="E136" s="22" t="s">
        <v>20</v>
      </c>
      <c r="F136" s="2" t="e">
        <f>VLOOKUP(Tabla3[[#This Row],[CONTABLE]],'SAPROV (2)'!L:M,2,FALSE)</f>
        <v>#N/A</v>
      </c>
      <c r="H136" t="s">
        <v>588</v>
      </c>
      <c r="I136" s="2" t="str">
        <f>VLOOKUP(Tabla3[[#This Row],[Deposito]],'SAPROV (2)'!D:E,2,FALSE)</f>
        <v>A01</v>
      </c>
      <c r="K136" s="23" t="s">
        <v>23</v>
      </c>
      <c r="L136" s="2" t="str">
        <f>VLOOKUP(Tabla3[[#This Row],[PROVEEDOR]],'SAPROV (2)'!A:B,2,FALSE)</f>
        <v>04</v>
      </c>
      <c r="M136" t="str">
        <f>VLOOKUP(Tabla3[[#This Row],[SERVICIO]],'SAPROV (2)'!I:J,2,FALSE)</f>
        <v>SERV0060</v>
      </c>
      <c r="N136" t="s">
        <v>611</v>
      </c>
      <c r="P136">
        <f>VLOOKUP(Tabla3[[#This Row],[FECHA]],TASA[],2,FALSE)</f>
        <v>367.31</v>
      </c>
      <c r="Q136" s="32">
        <f t="shared" si="8"/>
        <v>-2.1779967874547383E-2</v>
      </c>
      <c r="R136" t="s">
        <v>1055</v>
      </c>
    </row>
    <row r="137" spans="1:18" x14ac:dyDescent="0.25">
      <c r="A137" s="33">
        <v>46028</v>
      </c>
      <c r="B137" s="1">
        <v>185613317</v>
      </c>
      <c r="C137" s="2" t="s">
        <v>1155</v>
      </c>
      <c r="D137" s="34">
        <v>-10</v>
      </c>
      <c r="E137" s="22" t="s">
        <v>20</v>
      </c>
      <c r="F137" s="2" t="e">
        <f>VLOOKUP(Tabla3[[#This Row],[CONTABLE]],'SAPROV (2)'!L:M,2,FALSE)</f>
        <v>#N/A</v>
      </c>
      <c r="H137" t="s">
        <v>588</v>
      </c>
      <c r="I137" s="2" t="str">
        <f>VLOOKUP(Tabla3[[#This Row],[Deposito]],'SAPROV (2)'!D:E,2,FALSE)</f>
        <v>A01</v>
      </c>
      <c r="K137" s="23" t="s">
        <v>23</v>
      </c>
      <c r="L137" s="23" t="str">
        <f>VLOOKUP(Tabla3[[#This Row],[PROVEEDOR]],'SAPROV (2)'!A:B,2,FALSE)</f>
        <v>04</v>
      </c>
      <c r="M137" t="str">
        <f>VLOOKUP(Tabla3[[#This Row],[SERVICIO]],'SAPROV (2)'!I:J,2,FALSE)</f>
        <v>SERV0060</v>
      </c>
      <c r="N137" t="s">
        <v>611</v>
      </c>
      <c r="P137">
        <f>VLOOKUP(Tabla3[[#This Row],[FECHA]],TASA[],2,FALSE)</f>
        <v>308.14999999999998</v>
      </c>
      <c r="Q137" s="32">
        <f t="shared" ref="Q137:Q140" si="9">D137/P137</f>
        <v>-3.2451728054518902E-2</v>
      </c>
      <c r="R137" t="s">
        <v>1159</v>
      </c>
    </row>
    <row r="138" spans="1:18" x14ac:dyDescent="0.25">
      <c r="A138" s="33">
        <v>46042</v>
      </c>
      <c r="B138" s="1">
        <v>105405571</v>
      </c>
      <c r="C138" s="2" t="s">
        <v>1156</v>
      </c>
      <c r="D138" s="34">
        <v>-450.92</v>
      </c>
      <c r="E138" s="22" t="s">
        <v>20</v>
      </c>
      <c r="F138" s="2" t="e">
        <f>VLOOKUP(Tabla3[[#This Row],[CONTABLE]],'SAPROV (2)'!L:M,2,FALSE)</f>
        <v>#N/A</v>
      </c>
      <c r="H138" t="s">
        <v>588</v>
      </c>
      <c r="I138" s="2" t="str">
        <f>VLOOKUP(Tabla3[[#This Row],[Deposito]],'SAPROV (2)'!D:E,2,FALSE)</f>
        <v>A01</v>
      </c>
      <c r="K138" s="23" t="s">
        <v>23</v>
      </c>
      <c r="L138" s="23" t="str">
        <f>VLOOKUP(Tabla3[[#This Row],[PROVEEDOR]],'SAPROV (2)'!A:B,2,FALSE)</f>
        <v>04</v>
      </c>
      <c r="M138" t="str">
        <f>VLOOKUP(Tabla3[[#This Row],[SERVICIO]],'SAPROV (2)'!I:J,2,FALSE)</f>
        <v>SERV0060</v>
      </c>
      <c r="N138" t="s">
        <v>611</v>
      </c>
      <c r="P138">
        <f>VLOOKUP(Tabla3[[#This Row],[FECHA]],TASA[],2,FALSE)</f>
        <v>344.51</v>
      </c>
      <c r="Q138" s="32">
        <f t="shared" si="9"/>
        <v>-1.3088734724681432</v>
      </c>
      <c r="R138" t="s">
        <v>1159</v>
      </c>
    </row>
    <row r="139" spans="1:18" x14ac:dyDescent="0.25">
      <c r="A139" s="33">
        <v>46052</v>
      </c>
      <c r="C139" s="2" t="s">
        <v>1157</v>
      </c>
      <c r="D139" s="34">
        <v>-30</v>
      </c>
      <c r="E139" s="22" t="s">
        <v>20</v>
      </c>
      <c r="F139" s="2" t="e">
        <f>VLOOKUP(Tabla3[[#This Row],[CONTABLE]],'SAPROV (2)'!L:M,2,FALSE)</f>
        <v>#N/A</v>
      </c>
      <c r="H139" t="s">
        <v>588</v>
      </c>
      <c r="I139" s="2" t="str">
        <f>VLOOKUP(Tabla3[[#This Row],[Deposito]],'SAPROV (2)'!D:E,2,FALSE)</f>
        <v>A01</v>
      </c>
      <c r="K139" s="23" t="s">
        <v>23</v>
      </c>
      <c r="L139" s="2" t="str">
        <f>VLOOKUP(Tabla3[[#This Row],[PROVEEDOR]],'SAPROV (2)'!A:B,2,FALSE)</f>
        <v>04</v>
      </c>
      <c r="M139" t="str">
        <f>VLOOKUP(Tabla3[[#This Row],[SERVICIO]],'SAPROV (2)'!I:J,2,FALSE)</f>
        <v>SERV0060</v>
      </c>
      <c r="N139" t="s">
        <v>611</v>
      </c>
      <c r="P139">
        <f>VLOOKUP(Tabla3[[#This Row],[FECHA]],TASA[],2,FALSE)</f>
        <v>367.31</v>
      </c>
      <c r="Q139" s="32">
        <f t="shared" si="9"/>
        <v>-8.1674879529552699E-2</v>
      </c>
      <c r="R139" t="s">
        <v>1159</v>
      </c>
    </row>
    <row r="140" spans="1:18" x14ac:dyDescent="0.25">
      <c r="A140" s="33">
        <v>46052</v>
      </c>
      <c r="C140" s="2" t="s">
        <v>1158</v>
      </c>
      <c r="D140" s="34">
        <v>-20</v>
      </c>
      <c r="E140" s="22" t="s">
        <v>20</v>
      </c>
      <c r="F140" s="2" t="e">
        <f>VLOOKUP(Tabla3[[#This Row],[CONTABLE]],'SAPROV (2)'!L:M,2,FALSE)</f>
        <v>#N/A</v>
      </c>
      <c r="H140" t="s">
        <v>588</v>
      </c>
      <c r="I140" s="2" t="str">
        <f>VLOOKUP(Tabla3[[#This Row],[Deposito]],'SAPROV (2)'!D:E,2,FALSE)</f>
        <v>A01</v>
      </c>
      <c r="K140" s="23" t="s">
        <v>23</v>
      </c>
      <c r="L140" s="23" t="str">
        <f>VLOOKUP(Tabla3[[#This Row],[PROVEEDOR]],'SAPROV (2)'!A:B,2,FALSE)</f>
        <v>04</v>
      </c>
      <c r="M140" t="str">
        <f>VLOOKUP(Tabla3[[#This Row],[SERVICIO]],'SAPROV (2)'!I:J,2,FALSE)</f>
        <v>SERV0060</v>
      </c>
      <c r="N140" t="s">
        <v>611</v>
      </c>
      <c r="P140">
        <f>VLOOKUP(Tabla3[[#This Row],[FECHA]],TASA[],2,FALSE)</f>
        <v>367.31</v>
      </c>
      <c r="Q140" s="32">
        <f t="shared" si="9"/>
        <v>-5.4449919686368461E-2</v>
      </c>
      <c r="R140" t="s">
        <v>1159</v>
      </c>
    </row>
    <row r="141" spans="1:18" x14ac:dyDescent="0.25">
      <c r="A141" s="33">
        <v>46027</v>
      </c>
      <c r="B141" s="1">
        <v>43700024375</v>
      </c>
      <c r="C141" s="2" t="s">
        <v>1160</v>
      </c>
      <c r="D141" s="34">
        <v>-10.1</v>
      </c>
      <c r="E141" t="s">
        <v>20</v>
      </c>
      <c r="F141" s="2" t="e">
        <f>VLOOKUP(Tabla3[[#This Row],[CONTABLE]],'SAPROV (2)'!L:M,2,FALSE)</f>
        <v>#N/A</v>
      </c>
      <c r="H141" t="s">
        <v>588</v>
      </c>
      <c r="I141" s="2" t="str">
        <f>VLOOKUP(Tabla3[[#This Row],[Deposito]],'SAPROV (2)'!D:E,2,FALSE)</f>
        <v>A01</v>
      </c>
      <c r="K141" s="23" t="s">
        <v>23</v>
      </c>
      <c r="L141" s="23" t="str">
        <f>VLOOKUP(Tabla3[[#This Row],[PROVEEDOR]],'SAPROV (2)'!A:B,2,FALSE)</f>
        <v>04</v>
      </c>
      <c r="M141" t="str">
        <f>VLOOKUP(Tabla3[[#This Row],[SERVICIO]],'SAPROV (2)'!I:J,2,FALSE)</f>
        <v>SERV0060</v>
      </c>
      <c r="N141" t="s">
        <v>611</v>
      </c>
      <c r="P141">
        <f>VLOOKUP(Tabla3[[#This Row],[FECHA]],TASA[],2,FALSE)</f>
        <v>304.68</v>
      </c>
      <c r="Q141" s="32">
        <f t="shared" ref="Q141:Q149" si="10">D141/P141</f>
        <v>-3.314953393724563E-2</v>
      </c>
      <c r="R141" t="s">
        <v>22</v>
      </c>
    </row>
    <row r="142" spans="1:18" x14ac:dyDescent="0.25">
      <c r="A142" s="33">
        <v>46042</v>
      </c>
      <c r="B142" s="1">
        <v>43700031193</v>
      </c>
      <c r="C142" s="2" t="s">
        <v>1161</v>
      </c>
      <c r="D142" s="34">
        <v>-10.1</v>
      </c>
      <c r="E142" t="s">
        <v>20</v>
      </c>
      <c r="F142" s="2" t="e">
        <f>VLOOKUP(Tabla3[[#This Row],[CONTABLE]],'SAPROV (2)'!L:M,2,FALSE)</f>
        <v>#N/A</v>
      </c>
      <c r="H142" t="s">
        <v>588</v>
      </c>
      <c r="I142" s="2" t="str">
        <f>VLOOKUP(Tabla3[[#This Row],[Deposito]],'SAPROV (2)'!D:E,2,FALSE)</f>
        <v>A01</v>
      </c>
      <c r="K142" s="23" t="s">
        <v>23</v>
      </c>
      <c r="L142" s="2" t="str">
        <f>VLOOKUP(Tabla3[[#This Row],[PROVEEDOR]],'SAPROV (2)'!A:B,2,FALSE)</f>
        <v>04</v>
      </c>
      <c r="M142" t="str">
        <f>VLOOKUP(Tabla3[[#This Row],[SERVICIO]],'SAPROV (2)'!I:J,2,FALSE)</f>
        <v>SERV0060</v>
      </c>
      <c r="N142" t="s">
        <v>611</v>
      </c>
      <c r="P142">
        <f>VLOOKUP(Tabla3[[#This Row],[FECHA]],TASA[],2,FALSE)</f>
        <v>344.51</v>
      </c>
      <c r="Q142" s="32">
        <f t="shared" si="10"/>
        <v>-2.931700095788221E-2</v>
      </c>
      <c r="R142" t="s">
        <v>22</v>
      </c>
    </row>
    <row r="143" spans="1:18" x14ac:dyDescent="0.25">
      <c r="A143" s="33">
        <v>46049</v>
      </c>
      <c r="B143" s="1">
        <v>10781498729</v>
      </c>
      <c r="C143" s="2" t="s">
        <v>1162</v>
      </c>
      <c r="D143" s="34">
        <v>-3000</v>
      </c>
      <c r="E143" t="s">
        <v>20</v>
      </c>
      <c r="F143" s="2" t="e">
        <f>VLOOKUP(Tabla3[[#This Row],[CONTABLE]],'SAPROV (2)'!L:M,2,FALSE)</f>
        <v>#N/A</v>
      </c>
      <c r="H143" t="s">
        <v>588</v>
      </c>
      <c r="I143" s="2" t="str">
        <f>VLOOKUP(Tabla3[[#This Row],[Deposito]],'SAPROV (2)'!D:E,2,FALSE)</f>
        <v>A01</v>
      </c>
      <c r="K143" s="23" t="s">
        <v>23</v>
      </c>
      <c r="L143" s="23" t="str">
        <f>VLOOKUP(Tabla3[[#This Row],[PROVEEDOR]],'SAPROV (2)'!A:B,2,FALSE)</f>
        <v>04</v>
      </c>
      <c r="M143" t="str">
        <f>VLOOKUP(Tabla3[[#This Row],[SERVICIO]],'SAPROV (2)'!I:J,2,FALSE)</f>
        <v>SERV0060</v>
      </c>
      <c r="N143" t="s">
        <v>611</v>
      </c>
      <c r="P143">
        <f>VLOOKUP(Tabla3[[#This Row],[FECHA]],TASA[],2,FALSE)</f>
        <v>358.92</v>
      </c>
      <c r="Q143" s="32">
        <f t="shared" si="10"/>
        <v>-8.3584085590103641</v>
      </c>
      <c r="R143" t="s">
        <v>22</v>
      </c>
    </row>
    <row r="144" spans="1:18" x14ac:dyDescent="0.25">
      <c r="A144" s="33">
        <v>46049</v>
      </c>
      <c r="B144" s="1">
        <v>10781498469</v>
      </c>
      <c r="C144" s="2" t="s">
        <v>1162</v>
      </c>
      <c r="D144" s="34">
        <v>-3000</v>
      </c>
      <c r="E144" t="s">
        <v>20</v>
      </c>
      <c r="F144" s="2" t="e">
        <f>VLOOKUP(Tabla3[[#This Row],[CONTABLE]],'SAPROV (2)'!L:M,2,FALSE)</f>
        <v>#N/A</v>
      </c>
      <c r="H144" t="s">
        <v>588</v>
      </c>
      <c r="I144" s="2" t="str">
        <f>VLOOKUP(Tabla3[[#This Row],[Deposito]],'SAPROV (2)'!D:E,2,FALSE)</f>
        <v>A01</v>
      </c>
      <c r="K144" s="23" t="s">
        <v>23</v>
      </c>
      <c r="L144" s="23" t="str">
        <f>VLOOKUP(Tabla3[[#This Row],[PROVEEDOR]],'SAPROV (2)'!A:B,2,FALSE)</f>
        <v>04</v>
      </c>
      <c r="M144" t="str">
        <f>VLOOKUP(Tabla3[[#This Row],[SERVICIO]],'SAPROV (2)'!I:J,2,FALSE)</f>
        <v>SERV0060</v>
      </c>
      <c r="N144" t="s">
        <v>611</v>
      </c>
      <c r="P144">
        <f>VLOOKUP(Tabla3[[#This Row],[FECHA]],TASA[],2,FALSE)</f>
        <v>358.92</v>
      </c>
      <c r="Q144" s="32">
        <f t="shared" si="10"/>
        <v>-8.3584085590103641</v>
      </c>
      <c r="R144" t="s">
        <v>22</v>
      </c>
    </row>
    <row r="145" spans="1:18" x14ac:dyDescent="0.25">
      <c r="A145" s="33">
        <v>46049</v>
      </c>
      <c r="B145" s="1">
        <v>10781498160</v>
      </c>
      <c r="C145" s="2" t="s">
        <v>1162</v>
      </c>
      <c r="D145" s="34">
        <v>-3000</v>
      </c>
      <c r="E145" t="s">
        <v>20</v>
      </c>
      <c r="F145" s="2" t="e">
        <f>VLOOKUP(Tabla3[[#This Row],[CONTABLE]],'SAPROV (2)'!L:M,2,FALSE)</f>
        <v>#N/A</v>
      </c>
      <c r="H145" t="s">
        <v>588</v>
      </c>
      <c r="I145" s="2" t="str">
        <f>VLOOKUP(Tabla3[[#This Row],[Deposito]],'SAPROV (2)'!D:E,2,FALSE)</f>
        <v>A01</v>
      </c>
      <c r="K145" s="23" t="s">
        <v>23</v>
      </c>
      <c r="L145" s="2" t="str">
        <f>VLOOKUP(Tabla3[[#This Row],[PROVEEDOR]],'SAPROV (2)'!A:B,2,FALSE)</f>
        <v>04</v>
      </c>
      <c r="M145" t="str">
        <f>VLOOKUP(Tabla3[[#This Row],[SERVICIO]],'SAPROV (2)'!I:J,2,FALSE)</f>
        <v>SERV0060</v>
      </c>
      <c r="N145" t="s">
        <v>611</v>
      </c>
      <c r="P145">
        <f>VLOOKUP(Tabla3[[#This Row],[FECHA]],TASA[],2,FALSE)</f>
        <v>358.92</v>
      </c>
      <c r="Q145" s="32">
        <f t="shared" si="10"/>
        <v>-8.3584085590103641</v>
      </c>
      <c r="R145" t="s">
        <v>22</v>
      </c>
    </row>
    <row r="146" spans="1:18" x14ac:dyDescent="0.25">
      <c r="A146" s="33">
        <v>46049</v>
      </c>
      <c r="B146" s="1">
        <v>10781497975</v>
      </c>
      <c r="C146" s="2" t="s">
        <v>1162</v>
      </c>
      <c r="D146" s="34">
        <v>-3000</v>
      </c>
      <c r="E146" t="s">
        <v>20</v>
      </c>
      <c r="F146" s="2" t="e">
        <f>VLOOKUP(Tabla3[[#This Row],[CONTABLE]],'SAPROV (2)'!L:M,2,FALSE)</f>
        <v>#N/A</v>
      </c>
      <c r="H146" t="s">
        <v>588</v>
      </c>
      <c r="I146" s="2" t="str">
        <f>VLOOKUP(Tabla3[[#This Row],[Deposito]],'SAPROV (2)'!D:E,2,FALSE)</f>
        <v>A01</v>
      </c>
      <c r="K146" s="23" t="s">
        <v>23</v>
      </c>
      <c r="L146" s="23" t="str">
        <f>VLOOKUP(Tabla3[[#This Row],[PROVEEDOR]],'SAPROV (2)'!A:B,2,FALSE)</f>
        <v>04</v>
      </c>
      <c r="M146" t="str">
        <f>VLOOKUP(Tabla3[[#This Row],[SERVICIO]],'SAPROV (2)'!I:J,2,FALSE)</f>
        <v>SERV0060</v>
      </c>
      <c r="N146" t="s">
        <v>611</v>
      </c>
      <c r="P146">
        <f>VLOOKUP(Tabla3[[#This Row],[FECHA]],TASA[],2,FALSE)</f>
        <v>358.92</v>
      </c>
      <c r="Q146" s="32">
        <f t="shared" si="10"/>
        <v>-8.3584085590103641</v>
      </c>
      <c r="R146" t="s">
        <v>22</v>
      </c>
    </row>
    <row r="147" spans="1:18" x14ac:dyDescent="0.25">
      <c r="A147" s="33">
        <v>46049</v>
      </c>
      <c r="B147" s="1">
        <v>10781497710</v>
      </c>
      <c r="C147" s="2" t="s">
        <v>1162</v>
      </c>
      <c r="D147" s="34">
        <v>-3000</v>
      </c>
      <c r="E147" t="s">
        <v>20</v>
      </c>
      <c r="F147" s="2" t="e">
        <f>VLOOKUP(Tabla3[[#This Row],[CONTABLE]],'SAPROV (2)'!L:M,2,FALSE)</f>
        <v>#N/A</v>
      </c>
      <c r="H147" t="s">
        <v>588</v>
      </c>
      <c r="I147" s="2" t="str">
        <f>VLOOKUP(Tabla3[[#This Row],[Deposito]],'SAPROV (2)'!D:E,2,FALSE)</f>
        <v>A01</v>
      </c>
      <c r="K147" s="23" t="s">
        <v>23</v>
      </c>
      <c r="L147" s="23" t="str">
        <f>VLOOKUP(Tabla3[[#This Row],[PROVEEDOR]],'SAPROV (2)'!A:B,2,FALSE)</f>
        <v>04</v>
      </c>
      <c r="M147" t="str">
        <f>VLOOKUP(Tabla3[[#This Row],[SERVICIO]],'SAPROV (2)'!I:J,2,FALSE)</f>
        <v>SERV0060</v>
      </c>
      <c r="N147" t="s">
        <v>611</v>
      </c>
      <c r="P147">
        <f>VLOOKUP(Tabla3[[#This Row],[FECHA]],TASA[],2,FALSE)</f>
        <v>358.92</v>
      </c>
      <c r="Q147" s="32">
        <f t="shared" si="10"/>
        <v>-8.3584085590103641</v>
      </c>
      <c r="R147" t="s">
        <v>22</v>
      </c>
    </row>
    <row r="148" spans="1:18" x14ac:dyDescent="0.25">
      <c r="A148" s="33">
        <v>46049</v>
      </c>
      <c r="B148" s="1">
        <v>10781497448</v>
      </c>
      <c r="C148" s="2" t="s">
        <v>1162</v>
      </c>
      <c r="D148" s="34">
        <v>-3000</v>
      </c>
      <c r="E148" t="s">
        <v>20</v>
      </c>
      <c r="F148" s="2" t="e">
        <f>VLOOKUP(Tabla3[[#This Row],[CONTABLE]],'SAPROV (2)'!L:M,2,FALSE)</f>
        <v>#N/A</v>
      </c>
      <c r="H148" t="s">
        <v>588</v>
      </c>
      <c r="I148" s="2" t="str">
        <f>VLOOKUP(Tabla3[[#This Row],[Deposito]],'SAPROV (2)'!D:E,2,FALSE)</f>
        <v>A01</v>
      </c>
      <c r="K148" s="23" t="s">
        <v>23</v>
      </c>
      <c r="L148" s="2" t="str">
        <f>VLOOKUP(Tabla3[[#This Row],[PROVEEDOR]],'SAPROV (2)'!A:B,2,FALSE)</f>
        <v>04</v>
      </c>
      <c r="M148" t="str">
        <f>VLOOKUP(Tabla3[[#This Row],[SERVICIO]],'SAPROV (2)'!I:J,2,FALSE)</f>
        <v>SERV0060</v>
      </c>
      <c r="N148" t="s">
        <v>611</v>
      </c>
      <c r="P148">
        <f>VLOOKUP(Tabla3[[#This Row],[FECHA]],TASA[],2,FALSE)</f>
        <v>358.92</v>
      </c>
      <c r="Q148" s="32">
        <f t="shared" si="10"/>
        <v>-8.3584085590103641</v>
      </c>
      <c r="R148" t="s">
        <v>22</v>
      </c>
    </row>
    <row r="149" spans="1:18" x14ac:dyDescent="0.25">
      <c r="A149" s="33">
        <v>46049</v>
      </c>
      <c r="B149" s="1">
        <v>10781497178</v>
      </c>
      <c r="C149" s="2" t="s">
        <v>1162</v>
      </c>
      <c r="D149" s="34">
        <v>-3000</v>
      </c>
      <c r="E149" t="s">
        <v>20</v>
      </c>
      <c r="F149" s="2" t="e">
        <f>VLOOKUP(Tabla3[[#This Row],[CONTABLE]],'SAPROV (2)'!L:M,2,FALSE)</f>
        <v>#N/A</v>
      </c>
      <c r="H149" t="s">
        <v>588</v>
      </c>
      <c r="I149" s="2" t="str">
        <f>VLOOKUP(Tabla3[[#This Row],[Deposito]],'SAPROV (2)'!D:E,2,FALSE)</f>
        <v>A01</v>
      </c>
      <c r="K149" s="23" t="s">
        <v>23</v>
      </c>
      <c r="L149" s="23" t="str">
        <f>VLOOKUP(Tabla3[[#This Row],[PROVEEDOR]],'SAPROV (2)'!A:B,2,FALSE)</f>
        <v>04</v>
      </c>
      <c r="M149" t="str">
        <f>VLOOKUP(Tabla3[[#This Row],[SERVICIO]],'SAPROV (2)'!I:J,2,FALSE)</f>
        <v>SERV0060</v>
      </c>
      <c r="N149" t="s">
        <v>611</v>
      </c>
      <c r="P149">
        <f>VLOOKUP(Tabla3[[#This Row],[FECHA]],TASA[],2,FALSE)</f>
        <v>358.92</v>
      </c>
      <c r="Q149" s="32">
        <f t="shared" si="10"/>
        <v>-8.3584085590103641</v>
      </c>
      <c r="R149" t="s">
        <v>22</v>
      </c>
    </row>
    <row r="150" spans="1:18" x14ac:dyDescent="0.25">
      <c r="A150" s="33">
        <v>46049</v>
      </c>
      <c r="B150" s="1">
        <v>43700028344</v>
      </c>
      <c r="C150" s="2" t="s">
        <v>1160</v>
      </c>
      <c r="D150" s="34">
        <v>-10.1</v>
      </c>
      <c r="E150" t="s">
        <v>20</v>
      </c>
      <c r="F150" s="2" t="e">
        <f>VLOOKUP(Tabla3[[#This Row],[CONTABLE]],'SAPROV (2)'!L:M,2,FALSE)</f>
        <v>#N/A</v>
      </c>
      <c r="H150" t="s">
        <v>588</v>
      </c>
      <c r="I150" s="2" t="str">
        <f>VLOOKUP(Tabla3[[#This Row],[Deposito]],'SAPROV (2)'!D:E,2,FALSE)</f>
        <v>A01</v>
      </c>
      <c r="K150" s="23" t="s">
        <v>23</v>
      </c>
      <c r="L150" s="23" t="str">
        <f>VLOOKUP(Tabla3[[#This Row],[PROVEEDOR]],'SAPROV (2)'!A:B,2,FALSE)</f>
        <v>04</v>
      </c>
      <c r="M150" t="str">
        <f>VLOOKUP(Tabla3[[#This Row],[SERVICIO]],'SAPROV (2)'!I:J,2,FALSE)</f>
        <v>SERV0060</v>
      </c>
      <c r="N150" t="s">
        <v>611</v>
      </c>
      <c r="P150">
        <f>VLOOKUP(Tabla3[[#This Row],[FECHA]],TASA[],2,FALSE)</f>
        <v>358.92</v>
      </c>
      <c r="Q150" s="32">
        <f t="shared" ref="Q150" si="11">D150/P150</f>
        <v>-2.8139975482001558E-2</v>
      </c>
      <c r="R150" t="s">
        <v>22</v>
      </c>
    </row>
    <row r="151" spans="1:18" x14ac:dyDescent="0.25">
      <c r="A151" s="33">
        <v>46052</v>
      </c>
      <c r="B151" s="1">
        <v>71600000000</v>
      </c>
      <c r="C151" s="2" t="s">
        <v>1163</v>
      </c>
      <c r="D151" s="34">
        <v>-8</v>
      </c>
      <c r="E151" t="s">
        <v>20</v>
      </c>
      <c r="F151" s="2" t="e">
        <f>VLOOKUP(Tabla3[[#This Row],[CONTABLE]],'SAPROV (2)'!L:M,2,FALSE)</f>
        <v>#N/A</v>
      </c>
      <c r="H151" t="s">
        <v>588</v>
      </c>
      <c r="I151" s="2" t="str">
        <f>VLOOKUP(Tabla3[[#This Row],[Deposito]],'SAPROV (2)'!D:E,2,FALSE)</f>
        <v>A01</v>
      </c>
      <c r="K151" s="23" t="s">
        <v>23</v>
      </c>
      <c r="L151" s="2" t="str">
        <f>VLOOKUP(Tabla3[[#This Row],[PROVEEDOR]],'SAPROV (2)'!A:B,2,FALSE)</f>
        <v>04</v>
      </c>
      <c r="M151" t="str">
        <f>VLOOKUP(Tabla3[[#This Row],[SERVICIO]],'SAPROV (2)'!I:J,2,FALSE)</f>
        <v>SERV0060</v>
      </c>
      <c r="N151" t="s">
        <v>611</v>
      </c>
      <c r="P151">
        <f>VLOOKUP(Tabla3[[#This Row],[FECHA]],TASA[],2,FALSE)</f>
        <v>367.31</v>
      </c>
      <c r="Q151" s="32">
        <f t="shared" ref="Q151:Q152" si="12">D151/P151</f>
        <v>-2.1779967874547383E-2</v>
      </c>
      <c r="R151" t="s">
        <v>22</v>
      </c>
    </row>
    <row r="152" spans="1:18" x14ac:dyDescent="0.25">
      <c r="A152" s="33">
        <v>46052</v>
      </c>
      <c r="B152" s="1">
        <v>91577700000</v>
      </c>
      <c r="C152" s="2" t="s">
        <v>1164</v>
      </c>
      <c r="D152" s="34">
        <v>-8</v>
      </c>
      <c r="E152" t="s">
        <v>20</v>
      </c>
      <c r="F152" s="2" t="e">
        <f>VLOOKUP(Tabla3[[#This Row],[CONTABLE]],'SAPROV (2)'!L:M,2,FALSE)</f>
        <v>#N/A</v>
      </c>
      <c r="H152" t="s">
        <v>588</v>
      </c>
      <c r="I152" s="2" t="str">
        <f>VLOOKUP(Tabla3[[#This Row],[Deposito]],'SAPROV (2)'!D:E,2,FALSE)</f>
        <v>A01</v>
      </c>
      <c r="K152" s="23" t="s">
        <v>23</v>
      </c>
      <c r="L152" s="23" t="str">
        <f>VLOOKUP(Tabla3[[#This Row],[PROVEEDOR]],'SAPROV (2)'!A:B,2,FALSE)</f>
        <v>04</v>
      </c>
      <c r="M152" t="str">
        <f>VLOOKUP(Tabla3[[#This Row],[SERVICIO]],'SAPROV (2)'!I:J,2,FALSE)</f>
        <v>SERV0060</v>
      </c>
      <c r="N152" t="s">
        <v>611</v>
      </c>
      <c r="P152">
        <f>VLOOKUP(Tabla3[[#This Row],[FECHA]],TASA[],2,FALSE)</f>
        <v>367.31</v>
      </c>
      <c r="Q152" s="32">
        <f t="shared" si="12"/>
        <v>-2.1779967874547383E-2</v>
      </c>
      <c r="R152" t="s">
        <v>22</v>
      </c>
    </row>
    <row r="153" spans="1:18" x14ac:dyDescent="0.25">
      <c r="A153" s="33">
        <v>46028</v>
      </c>
      <c r="B153" s="1">
        <v>1348</v>
      </c>
      <c r="C153" s="2" t="s">
        <v>1165</v>
      </c>
      <c r="D153" s="34">
        <v>-4.1399999999999997</v>
      </c>
      <c r="E153" t="s">
        <v>20</v>
      </c>
      <c r="F153" s="2" t="e">
        <f>VLOOKUP(Tabla3[[#This Row],[CONTABLE]],'SAPROV (2)'!L:M,2,FALSE)</f>
        <v>#N/A</v>
      </c>
      <c r="H153" t="s">
        <v>588</v>
      </c>
      <c r="I153" s="2" t="str">
        <f>VLOOKUP(Tabla3[[#This Row],[Deposito]],'SAPROV (2)'!D:E,2,FALSE)</f>
        <v>A01</v>
      </c>
      <c r="K153" s="23" t="s">
        <v>23</v>
      </c>
      <c r="L153" s="23" t="str">
        <f>VLOOKUP(Tabla3[[#This Row],[PROVEEDOR]],'SAPROV (2)'!A:B,2,FALSE)</f>
        <v>04</v>
      </c>
      <c r="M153" t="str">
        <f>VLOOKUP(Tabla3[[#This Row],[SERVICIO]],'SAPROV (2)'!I:J,2,FALSE)</f>
        <v>SERV0060</v>
      </c>
      <c r="N153" t="s">
        <v>611</v>
      </c>
      <c r="P153">
        <f>VLOOKUP(Tabla3[[#This Row],[FECHA]],TASA[],2,FALSE)</f>
        <v>308.14999999999998</v>
      </c>
      <c r="Q153" s="32">
        <f t="shared" ref="Q153:Q174" si="13">D153/P153</f>
        <v>-1.3435015414570825E-2</v>
      </c>
      <c r="R153" t="s">
        <v>1056</v>
      </c>
    </row>
    <row r="154" spans="1:18" x14ac:dyDescent="0.25">
      <c r="A154" s="33">
        <v>46028</v>
      </c>
      <c r="B154" s="1">
        <v>1346</v>
      </c>
      <c r="C154" s="2" t="s">
        <v>1166</v>
      </c>
      <c r="D154" s="34">
        <v>-3000</v>
      </c>
      <c r="E154" t="s">
        <v>20</v>
      </c>
      <c r="F154" s="2" t="e">
        <f>VLOOKUP(Tabla3[[#This Row],[CONTABLE]],'SAPROV (2)'!L:M,2,FALSE)</f>
        <v>#N/A</v>
      </c>
      <c r="H154" t="s">
        <v>588</v>
      </c>
      <c r="I154" s="2" t="str">
        <f>VLOOKUP(Tabla3[[#This Row],[Deposito]],'SAPROV (2)'!D:E,2,FALSE)</f>
        <v>A01</v>
      </c>
      <c r="K154" s="23" t="s">
        <v>23</v>
      </c>
      <c r="L154" s="2" t="str">
        <f>VLOOKUP(Tabla3[[#This Row],[PROVEEDOR]],'SAPROV (2)'!A:B,2,FALSE)</f>
        <v>04</v>
      </c>
      <c r="M154" t="str">
        <f>VLOOKUP(Tabla3[[#This Row],[SERVICIO]],'SAPROV (2)'!I:J,2,FALSE)</f>
        <v>SERV0060</v>
      </c>
      <c r="N154" t="s">
        <v>611</v>
      </c>
      <c r="P154">
        <f>VLOOKUP(Tabla3[[#This Row],[FECHA]],TASA[],2,FALSE)</f>
        <v>308.14999999999998</v>
      </c>
      <c r="Q154" s="32">
        <f t="shared" si="13"/>
        <v>-9.7355184163556725</v>
      </c>
      <c r="R154" t="s">
        <v>1056</v>
      </c>
    </row>
    <row r="155" spans="1:18" x14ac:dyDescent="0.25">
      <c r="A155" s="33">
        <v>46028</v>
      </c>
      <c r="B155" s="1">
        <v>1344</v>
      </c>
      <c r="C155" s="2" t="s">
        <v>1167</v>
      </c>
      <c r="D155" s="34">
        <v>-3000</v>
      </c>
      <c r="E155" t="s">
        <v>20</v>
      </c>
      <c r="F155" s="2" t="e">
        <f>VLOOKUP(Tabla3[[#This Row],[CONTABLE]],'SAPROV (2)'!L:M,2,FALSE)</f>
        <v>#N/A</v>
      </c>
      <c r="H155" t="s">
        <v>588</v>
      </c>
      <c r="I155" s="2" t="str">
        <f>VLOOKUP(Tabla3[[#This Row],[Deposito]],'SAPROV (2)'!D:E,2,FALSE)</f>
        <v>A01</v>
      </c>
      <c r="K155" s="23" t="s">
        <v>23</v>
      </c>
      <c r="L155" s="23" t="str">
        <f>VLOOKUP(Tabla3[[#This Row],[PROVEEDOR]],'SAPROV (2)'!A:B,2,FALSE)</f>
        <v>04</v>
      </c>
      <c r="M155" t="str">
        <f>VLOOKUP(Tabla3[[#This Row],[SERVICIO]],'SAPROV (2)'!I:J,2,FALSE)</f>
        <v>SERV0060</v>
      </c>
      <c r="N155" t="s">
        <v>611</v>
      </c>
      <c r="P155">
        <f>VLOOKUP(Tabla3[[#This Row],[FECHA]],TASA[],2,FALSE)</f>
        <v>308.14999999999998</v>
      </c>
      <c r="Q155" s="32">
        <f t="shared" si="13"/>
        <v>-9.7355184163556725</v>
      </c>
      <c r="R155" t="s">
        <v>1056</v>
      </c>
    </row>
    <row r="156" spans="1:18" x14ac:dyDescent="0.25">
      <c r="A156" s="33">
        <v>46028</v>
      </c>
      <c r="B156" s="1">
        <v>1342</v>
      </c>
      <c r="C156" s="2" t="s">
        <v>1167</v>
      </c>
      <c r="D156" s="34">
        <v>-3000</v>
      </c>
      <c r="E156" t="s">
        <v>20</v>
      </c>
      <c r="F156" s="2" t="e">
        <f>VLOOKUP(Tabla3[[#This Row],[CONTABLE]],'SAPROV (2)'!L:M,2,FALSE)</f>
        <v>#N/A</v>
      </c>
      <c r="H156" t="s">
        <v>588</v>
      </c>
      <c r="I156" s="2" t="str">
        <f>VLOOKUP(Tabla3[[#This Row],[Deposito]],'SAPROV (2)'!D:E,2,FALSE)</f>
        <v>A01</v>
      </c>
      <c r="K156" s="23" t="s">
        <v>23</v>
      </c>
      <c r="L156" s="23" t="str">
        <f>VLOOKUP(Tabla3[[#This Row],[PROVEEDOR]],'SAPROV (2)'!A:B,2,FALSE)</f>
        <v>04</v>
      </c>
      <c r="M156" t="str">
        <f>VLOOKUP(Tabla3[[#This Row],[SERVICIO]],'SAPROV (2)'!I:J,2,FALSE)</f>
        <v>SERV0060</v>
      </c>
      <c r="N156" t="s">
        <v>611</v>
      </c>
      <c r="P156">
        <f>VLOOKUP(Tabla3[[#This Row],[FECHA]],TASA[],2,FALSE)</f>
        <v>308.14999999999998</v>
      </c>
      <c r="Q156" s="32">
        <f t="shared" si="13"/>
        <v>-9.7355184163556725</v>
      </c>
      <c r="R156" t="s">
        <v>1056</v>
      </c>
    </row>
    <row r="157" spans="1:18" x14ac:dyDescent="0.25">
      <c r="A157" s="33">
        <v>46028</v>
      </c>
      <c r="B157" s="1">
        <v>1340</v>
      </c>
      <c r="C157" s="2" t="s">
        <v>1167</v>
      </c>
      <c r="D157" s="34">
        <v>-3000</v>
      </c>
      <c r="E157" t="s">
        <v>20</v>
      </c>
      <c r="F157" s="2" t="e">
        <f>VLOOKUP(Tabla3[[#This Row],[CONTABLE]],'SAPROV (2)'!L:M,2,FALSE)</f>
        <v>#N/A</v>
      </c>
      <c r="H157" t="s">
        <v>588</v>
      </c>
      <c r="I157" s="2" t="str">
        <f>VLOOKUP(Tabla3[[#This Row],[Deposito]],'SAPROV (2)'!D:E,2,FALSE)</f>
        <v>A01</v>
      </c>
      <c r="K157" s="23" t="s">
        <v>23</v>
      </c>
      <c r="L157" s="2" t="str">
        <f>VLOOKUP(Tabla3[[#This Row],[PROVEEDOR]],'SAPROV (2)'!A:B,2,FALSE)</f>
        <v>04</v>
      </c>
      <c r="M157" t="str">
        <f>VLOOKUP(Tabla3[[#This Row],[SERVICIO]],'SAPROV (2)'!I:J,2,FALSE)</f>
        <v>SERV0060</v>
      </c>
      <c r="N157" t="s">
        <v>611</v>
      </c>
      <c r="P157">
        <f>VLOOKUP(Tabla3[[#This Row],[FECHA]],TASA[],2,FALSE)</f>
        <v>308.14999999999998</v>
      </c>
      <c r="Q157" s="32">
        <f t="shared" si="13"/>
        <v>-9.7355184163556725</v>
      </c>
      <c r="R157" t="s">
        <v>1056</v>
      </c>
    </row>
    <row r="158" spans="1:18" x14ac:dyDescent="0.25">
      <c r="A158" s="33">
        <v>46028</v>
      </c>
      <c r="B158" s="1">
        <v>1338</v>
      </c>
      <c r="C158" s="2" t="s">
        <v>1167</v>
      </c>
      <c r="D158" s="34">
        <v>-3000</v>
      </c>
      <c r="E158" t="s">
        <v>20</v>
      </c>
      <c r="F158" s="2" t="e">
        <f>VLOOKUP(Tabla3[[#This Row],[CONTABLE]],'SAPROV (2)'!L:M,2,FALSE)</f>
        <v>#N/A</v>
      </c>
      <c r="H158" t="s">
        <v>588</v>
      </c>
      <c r="I158" s="2" t="str">
        <f>VLOOKUP(Tabla3[[#This Row],[Deposito]],'SAPROV (2)'!D:E,2,FALSE)</f>
        <v>A01</v>
      </c>
      <c r="K158" s="23" t="s">
        <v>23</v>
      </c>
      <c r="L158" s="23" t="str">
        <f>VLOOKUP(Tabla3[[#This Row],[PROVEEDOR]],'SAPROV (2)'!A:B,2,FALSE)</f>
        <v>04</v>
      </c>
      <c r="M158" t="str">
        <f>VLOOKUP(Tabla3[[#This Row],[SERVICIO]],'SAPROV (2)'!I:J,2,FALSE)</f>
        <v>SERV0060</v>
      </c>
      <c r="N158" t="s">
        <v>611</v>
      </c>
      <c r="P158">
        <f>VLOOKUP(Tabla3[[#This Row],[FECHA]],TASA[],2,FALSE)</f>
        <v>308.14999999999998</v>
      </c>
      <c r="Q158" s="32">
        <f t="shared" si="13"/>
        <v>-9.7355184163556725</v>
      </c>
      <c r="R158" t="s">
        <v>1056</v>
      </c>
    </row>
    <row r="159" spans="1:18" x14ac:dyDescent="0.25">
      <c r="A159" s="33">
        <v>46028</v>
      </c>
      <c r="B159" s="1">
        <v>1336</v>
      </c>
      <c r="C159" s="2" t="s">
        <v>1167</v>
      </c>
      <c r="D159" s="34">
        <v>-3000</v>
      </c>
      <c r="E159" t="s">
        <v>20</v>
      </c>
      <c r="F159" s="2" t="e">
        <f>VLOOKUP(Tabla3[[#This Row],[CONTABLE]],'SAPROV (2)'!L:M,2,FALSE)</f>
        <v>#N/A</v>
      </c>
      <c r="H159" t="s">
        <v>588</v>
      </c>
      <c r="I159" s="2" t="str">
        <f>VLOOKUP(Tabla3[[#This Row],[Deposito]],'SAPROV (2)'!D:E,2,FALSE)</f>
        <v>A01</v>
      </c>
      <c r="K159" s="23" t="s">
        <v>23</v>
      </c>
      <c r="L159" s="23" t="str">
        <f>VLOOKUP(Tabla3[[#This Row],[PROVEEDOR]],'SAPROV (2)'!A:B,2,FALSE)</f>
        <v>04</v>
      </c>
      <c r="M159" t="str">
        <f>VLOOKUP(Tabla3[[#This Row],[SERVICIO]],'SAPROV (2)'!I:J,2,FALSE)</f>
        <v>SERV0060</v>
      </c>
      <c r="N159" t="s">
        <v>611</v>
      </c>
      <c r="P159">
        <f>VLOOKUP(Tabla3[[#This Row],[FECHA]],TASA[],2,FALSE)</f>
        <v>308.14999999999998</v>
      </c>
      <c r="Q159" s="32">
        <f t="shared" si="13"/>
        <v>-9.7355184163556725</v>
      </c>
      <c r="R159" t="s">
        <v>1056</v>
      </c>
    </row>
    <row r="160" spans="1:18" x14ac:dyDescent="0.25">
      <c r="A160" s="33">
        <v>46028</v>
      </c>
      <c r="B160" s="1">
        <v>1334</v>
      </c>
      <c r="C160" s="2" t="s">
        <v>1167</v>
      </c>
      <c r="D160" s="34">
        <v>-3000</v>
      </c>
      <c r="E160" t="s">
        <v>20</v>
      </c>
      <c r="F160" s="2" t="e">
        <f>VLOOKUP(Tabla3[[#This Row],[CONTABLE]],'SAPROV (2)'!L:M,2,FALSE)</f>
        <v>#N/A</v>
      </c>
      <c r="H160" t="s">
        <v>588</v>
      </c>
      <c r="I160" s="2" t="str">
        <f>VLOOKUP(Tabla3[[#This Row],[Deposito]],'SAPROV (2)'!D:E,2,FALSE)</f>
        <v>A01</v>
      </c>
      <c r="K160" s="23" t="s">
        <v>23</v>
      </c>
      <c r="L160" s="2" t="str">
        <f>VLOOKUP(Tabla3[[#This Row],[PROVEEDOR]],'SAPROV (2)'!A:B,2,FALSE)</f>
        <v>04</v>
      </c>
      <c r="M160" t="str">
        <f>VLOOKUP(Tabla3[[#This Row],[SERVICIO]],'SAPROV (2)'!I:J,2,FALSE)</f>
        <v>SERV0060</v>
      </c>
      <c r="N160" t="s">
        <v>611</v>
      </c>
      <c r="P160">
        <f>VLOOKUP(Tabla3[[#This Row],[FECHA]],TASA[],2,FALSE)</f>
        <v>308.14999999999998</v>
      </c>
      <c r="Q160" s="32">
        <f t="shared" si="13"/>
        <v>-9.7355184163556725</v>
      </c>
      <c r="R160" t="s">
        <v>1056</v>
      </c>
    </row>
    <row r="161" spans="1:18" x14ac:dyDescent="0.25">
      <c r="A161" s="33">
        <v>46028</v>
      </c>
      <c r="B161" s="1">
        <v>1332</v>
      </c>
      <c r="C161" s="2" t="s">
        <v>1167</v>
      </c>
      <c r="D161" s="34">
        <v>-3000</v>
      </c>
      <c r="E161" t="s">
        <v>20</v>
      </c>
      <c r="F161" s="2" t="e">
        <f>VLOOKUP(Tabla3[[#This Row],[CONTABLE]],'SAPROV (2)'!L:M,2,FALSE)</f>
        <v>#N/A</v>
      </c>
      <c r="H161" t="s">
        <v>588</v>
      </c>
      <c r="I161" s="2" t="str">
        <f>VLOOKUP(Tabla3[[#This Row],[Deposito]],'SAPROV (2)'!D:E,2,FALSE)</f>
        <v>A01</v>
      </c>
      <c r="K161" s="23" t="s">
        <v>23</v>
      </c>
      <c r="L161" s="23" t="str">
        <f>VLOOKUP(Tabla3[[#This Row],[PROVEEDOR]],'SAPROV (2)'!A:B,2,FALSE)</f>
        <v>04</v>
      </c>
      <c r="M161" t="str">
        <f>VLOOKUP(Tabla3[[#This Row],[SERVICIO]],'SAPROV (2)'!I:J,2,FALSE)</f>
        <v>SERV0060</v>
      </c>
      <c r="N161" t="s">
        <v>611</v>
      </c>
      <c r="P161">
        <f>VLOOKUP(Tabla3[[#This Row],[FECHA]],TASA[],2,FALSE)</f>
        <v>308.14999999999998</v>
      </c>
      <c r="Q161" s="32">
        <f t="shared" si="13"/>
        <v>-9.7355184163556725</v>
      </c>
      <c r="R161" t="s">
        <v>1056</v>
      </c>
    </row>
    <row r="162" spans="1:18" x14ac:dyDescent="0.25">
      <c r="A162" s="33">
        <v>46028</v>
      </c>
      <c r="B162" s="1">
        <v>1330</v>
      </c>
      <c r="C162" s="2" t="s">
        <v>1167</v>
      </c>
      <c r="D162" s="34">
        <v>-3000</v>
      </c>
      <c r="E162" t="s">
        <v>20</v>
      </c>
      <c r="F162" s="2" t="e">
        <f>VLOOKUP(Tabla3[[#This Row],[CONTABLE]],'SAPROV (2)'!L:M,2,FALSE)</f>
        <v>#N/A</v>
      </c>
      <c r="H162" t="s">
        <v>588</v>
      </c>
      <c r="I162" s="2" t="str">
        <f>VLOOKUP(Tabla3[[#This Row],[Deposito]],'SAPROV (2)'!D:E,2,FALSE)</f>
        <v>A01</v>
      </c>
      <c r="K162" s="23" t="s">
        <v>23</v>
      </c>
      <c r="L162" s="23" t="str">
        <f>VLOOKUP(Tabla3[[#This Row],[PROVEEDOR]],'SAPROV (2)'!A:B,2,FALSE)</f>
        <v>04</v>
      </c>
      <c r="M162" t="str">
        <f>VLOOKUP(Tabla3[[#This Row],[SERVICIO]],'SAPROV (2)'!I:J,2,FALSE)</f>
        <v>SERV0060</v>
      </c>
      <c r="N162" t="s">
        <v>611</v>
      </c>
      <c r="P162">
        <f>VLOOKUP(Tabla3[[#This Row],[FECHA]],TASA[],2,FALSE)</f>
        <v>308.14999999999998</v>
      </c>
      <c r="Q162" s="32">
        <f t="shared" si="13"/>
        <v>-9.7355184163556725</v>
      </c>
      <c r="R162" t="s">
        <v>1056</v>
      </c>
    </row>
    <row r="163" spans="1:18" x14ac:dyDescent="0.25">
      <c r="A163" s="33">
        <v>46028</v>
      </c>
      <c r="B163" s="1">
        <v>1328</v>
      </c>
      <c r="C163" s="2" t="s">
        <v>1167</v>
      </c>
      <c r="D163" s="34">
        <v>-3000</v>
      </c>
      <c r="E163" t="s">
        <v>20</v>
      </c>
      <c r="F163" s="2" t="e">
        <f>VLOOKUP(Tabla3[[#This Row],[CONTABLE]],'SAPROV (2)'!L:M,2,FALSE)</f>
        <v>#N/A</v>
      </c>
      <c r="H163" t="s">
        <v>588</v>
      </c>
      <c r="I163" s="2" t="str">
        <f>VLOOKUP(Tabla3[[#This Row],[Deposito]],'SAPROV (2)'!D:E,2,FALSE)</f>
        <v>A01</v>
      </c>
      <c r="K163" s="23" t="s">
        <v>23</v>
      </c>
      <c r="L163" s="2" t="str">
        <f>VLOOKUP(Tabla3[[#This Row],[PROVEEDOR]],'SAPROV (2)'!A:B,2,FALSE)</f>
        <v>04</v>
      </c>
      <c r="M163" t="str">
        <f>VLOOKUP(Tabla3[[#This Row],[SERVICIO]],'SAPROV (2)'!I:J,2,FALSE)</f>
        <v>SERV0060</v>
      </c>
      <c r="N163" t="s">
        <v>611</v>
      </c>
      <c r="P163">
        <f>VLOOKUP(Tabla3[[#This Row],[FECHA]],TASA[],2,FALSE)</f>
        <v>308.14999999999998</v>
      </c>
      <c r="Q163" s="32">
        <f t="shared" si="13"/>
        <v>-9.7355184163556725</v>
      </c>
      <c r="R163" t="s">
        <v>1056</v>
      </c>
    </row>
    <row r="164" spans="1:18" x14ac:dyDescent="0.25">
      <c r="A164" s="33">
        <v>46028</v>
      </c>
      <c r="B164" s="1">
        <v>1326</v>
      </c>
      <c r="C164" s="2" t="s">
        <v>1167</v>
      </c>
      <c r="D164" s="34">
        <v>-3000</v>
      </c>
      <c r="E164" t="s">
        <v>20</v>
      </c>
      <c r="F164" s="2" t="e">
        <f>VLOOKUP(Tabla3[[#This Row],[CONTABLE]],'SAPROV (2)'!L:M,2,FALSE)</f>
        <v>#N/A</v>
      </c>
      <c r="H164" t="s">
        <v>588</v>
      </c>
      <c r="I164" s="2" t="str">
        <f>VLOOKUP(Tabla3[[#This Row],[Deposito]],'SAPROV (2)'!D:E,2,FALSE)</f>
        <v>A01</v>
      </c>
      <c r="K164" s="23" t="s">
        <v>23</v>
      </c>
      <c r="L164" s="23" t="str">
        <f>VLOOKUP(Tabla3[[#This Row],[PROVEEDOR]],'SAPROV (2)'!A:B,2,FALSE)</f>
        <v>04</v>
      </c>
      <c r="M164" t="str">
        <f>VLOOKUP(Tabla3[[#This Row],[SERVICIO]],'SAPROV (2)'!I:J,2,FALSE)</f>
        <v>SERV0060</v>
      </c>
      <c r="N164" t="s">
        <v>611</v>
      </c>
      <c r="P164">
        <f>VLOOKUP(Tabla3[[#This Row],[FECHA]],TASA[],2,FALSE)</f>
        <v>308.14999999999998</v>
      </c>
      <c r="Q164" s="32">
        <f t="shared" si="13"/>
        <v>-9.7355184163556725</v>
      </c>
      <c r="R164" t="s">
        <v>1056</v>
      </c>
    </row>
    <row r="165" spans="1:18" x14ac:dyDescent="0.25">
      <c r="A165" s="33">
        <v>46028</v>
      </c>
      <c r="B165" s="1">
        <v>1324</v>
      </c>
      <c r="C165" s="2" t="s">
        <v>1167</v>
      </c>
      <c r="D165" s="34">
        <v>-3000</v>
      </c>
      <c r="E165" t="s">
        <v>20</v>
      </c>
      <c r="F165" s="2" t="e">
        <f>VLOOKUP(Tabla3[[#This Row],[CONTABLE]],'SAPROV (2)'!L:M,2,FALSE)</f>
        <v>#N/A</v>
      </c>
      <c r="H165" t="s">
        <v>588</v>
      </c>
      <c r="I165" s="2" t="str">
        <f>VLOOKUP(Tabla3[[#This Row],[Deposito]],'SAPROV (2)'!D:E,2,FALSE)</f>
        <v>A01</v>
      </c>
      <c r="K165" s="23" t="s">
        <v>23</v>
      </c>
      <c r="L165" s="23" t="str">
        <f>VLOOKUP(Tabla3[[#This Row],[PROVEEDOR]],'SAPROV (2)'!A:B,2,FALSE)</f>
        <v>04</v>
      </c>
      <c r="M165" t="str">
        <f>VLOOKUP(Tabla3[[#This Row],[SERVICIO]],'SAPROV (2)'!I:J,2,FALSE)</f>
        <v>SERV0060</v>
      </c>
      <c r="N165" t="s">
        <v>611</v>
      </c>
      <c r="P165">
        <f>VLOOKUP(Tabla3[[#This Row],[FECHA]],TASA[],2,FALSE)</f>
        <v>308.14999999999998</v>
      </c>
      <c r="Q165" s="32">
        <f t="shared" si="13"/>
        <v>-9.7355184163556725</v>
      </c>
      <c r="R165" t="s">
        <v>1056</v>
      </c>
    </row>
    <row r="166" spans="1:18" x14ac:dyDescent="0.25">
      <c r="A166" s="33">
        <v>46028</v>
      </c>
      <c r="B166" s="1">
        <v>1322</v>
      </c>
      <c r="C166" s="2" t="s">
        <v>1167</v>
      </c>
      <c r="D166" s="34">
        <v>-3000</v>
      </c>
      <c r="E166" t="s">
        <v>20</v>
      </c>
      <c r="F166" s="2" t="e">
        <f>VLOOKUP(Tabla3[[#This Row],[CONTABLE]],'SAPROV (2)'!L:M,2,FALSE)</f>
        <v>#N/A</v>
      </c>
      <c r="H166" t="s">
        <v>588</v>
      </c>
      <c r="I166" s="2" t="str">
        <f>VLOOKUP(Tabla3[[#This Row],[Deposito]],'SAPROV (2)'!D:E,2,FALSE)</f>
        <v>A01</v>
      </c>
      <c r="K166" s="23" t="s">
        <v>23</v>
      </c>
      <c r="L166" s="2" t="str">
        <f>VLOOKUP(Tabla3[[#This Row],[PROVEEDOR]],'SAPROV (2)'!A:B,2,FALSE)</f>
        <v>04</v>
      </c>
      <c r="M166" t="str">
        <f>VLOOKUP(Tabla3[[#This Row],[SERVICIO]],'SAPROV (2)'!I:J,2,FALSE)</f>
        <v>SERV0060</v>
      </c>
      <c r="N166" t="s">
        <v>611</v>
      </c>
      <c r="P166">
        <f>VLOOKUP(Tabla3[[#This Row],[FECHA]],TASA[],2,FALSE)</f>
        <v>308.14999999999998</v>
      </c>
      <c r="Q166" s="32">
        <f t="shared" si="13"/>
        <v>-9.7355184163556725</v>
      </c>
      <c r="R166" t="s">
        <v>1056</v>
      </c>
    </row>
    <row r="167" spans="1:18" x14ac:dyDescent="0.25">
      <c r="A167" s="33">
        <v>46028</v>
      </c>
      <c r="B167" s="1">
        <v>1320</v>
      </c>
      <c r="C167" s="2" t="s">
        <v>1167</v>
      </c>
      <c r="D167" s="34">
        <v>-3000</v>
      </c>
      <c r="E167" t="s">
        <v>20</v>
      </c>
      <c r="F167" s="2" t="e">
        <f>VLOOKUP(Tabla3[[#This Row],[CONTABLE]],'SAPROV (2)'!L:M,2,FALSE)</f>
        <v>#N/A</v>
      </c>
      <c r="H167" t="s">
        <v>588</v>
      </c>
      <c r="I167" s="2" t="str">
        <f>VLOOKUP(Tabla3[[#This Row],[Deposito]],'SAPROV (2)'!D:E,2,FALSE)</f>
        <v>A01</v>
      </c>
      <c r="K167" s="23" t="s">
        <v>23</v>
      </c>
      <c r="L167" s="23" t="str">
        <f>VLOOKUP(Tabla3[[#This Row],[PROVEEDOR]],'SAPROV (2)'!A:B,2,FALSE)</f>
        <v>04</v>
      </c>
      <c r="M167" t="str">
        <f>VLOOKUP(Tabla3[[#This Row],[SERVICIO]],'SAPROV (2)'!I:J,2,FALSE)</f>
        <v>SERV0060</v>
      </c>
      <c r="N167" t="s">
        <v>611</v>
      </c>
      <c r="P167">
        <f>VLOOKUP(Tabla3[[#This Row],[FECHA]],TASA[],2,FALSE)</f>
        <v>308.14999999999998</v>
      </c>
      <c r="Q167" s="32">
        <f t="shared" si="13"/>
        <v>-9.7355184163556725</v>
      </c>
      <c r="R167" t="s">
        <v>1056</v>
      </c>
    </row>
    <row r="168" spans="1:18" x14ac:dyDescent="0.25">
      <c r="A168" s="33">
        <v>46028</v>
      </c>
      <c r="B168" s="1">
        <v>1318</v>
      </c>
      <c r="C168" s="2" t="s">
        <v>1167</v>
      </c>
      <c r="D168" s="34">
        <v>-3000</v>
      </c>
      <c r="E168" t="s">
        <v>20</v>
      </c>
      <c r="F168" s="2" t="e">
        <f>VLOOKUP(Tabla3[[#This Row],[CONTABLE]],'SAPROV (2)'!L:M,2,FALSE)</f>
        <v>#N/A</v>
      </c>
      <c r="H168" t="s">
        <v>588</v>
      </c>
      <c r="I168" s="2" t="str">
        <f>VLOOKUP(Tabla3[[#This Row],[Deposito]],'SAPROV (2)'!D:E,2,FALSE)</f>
        <v>A01</v>
      </c>
      <c r="K168" s="23" t="s">
        <v>23</v>
      </c>
      <c r="L168" s="23" t="str">
        <f>VLOOKUP(Tabla3[[#This Row],[PROVEEDOR]],'SAPROV (2)'!A:B,2,FALSE)</f>
        <v>04</v>
      </c>
      <c r="M168" t="str">
        <f>VLOOKUP(Tabla3[[#This Row],[SERVICIO]],'SAPROV (2)'!I:J,2,FALSE)</f>
        <v>SERV0060</v>
      </c>
      <c r="N168" t="s">
        <v>611</v>
      </c>
      <c r="P168">
        <f>VLOOKUP(Tabla3[[#This Row],[FECHA]],TASA[],2,FALSE)</f>
        <v>308.14999999999998</v>
      </c>
      <c r="Q168" s="32">
        <f t="shared" si="13"/>
        <v>-9.7355184163556725</v>
      </c>
      <c r="R168" t="s">
        <v>1056</v>
      </c>
    </row>
    <row r="169" spans="1:18" x14ac:dyDescent="0.25">
      <c r="A169" s="33">
        <v>46028</v>
      </c>
      <c r="B169" s="1">
        <v>1316</v>
      </c>
      <c r="C169" s="2" t="s">
        <v>1167</v>
      </c>
      <c r="D169" s="34">
        <v>-3000</v>
      </c>
      <c r="E169" t="s">
        <v>20</v>
      </c>
      <c r="F169" s="2" t="e">
        <f>VLOOKUP(Tabla3[[#This Row],[CONTABLE]],'SAPROV (2)'!L:M,2,FALSE)</f>
        <v>#N/A</v>
      </c>
      <c r="H169" t="s">
        <v>588</v>
      </c>
      <c r="I169" s="2" t="str">
        <f>VLOOKUP(Tabla3[[#This Row],[Deposito]],'SAPROV (2)'!D:E,2,FALSE)</f>
        <v>A01</v>
      </c>
      <c r="K169" s="23" t="s">
        <v>23</v>
      </c>
      <c r="L169" s="2" t="str">
        <f>VLOOKUP(Tabla3[[#This Row],[PROVEEDOR]],'SAPROV (2)'!A:B,2,FALSE)</f>
        <v>04</v>
      </c>
      <c r="M169" t="str">
        <f>VLOOKUP(Tabla3[[#This Row],[SERVICIO]],'SAPROV (2)'!I:J,2,FALSE)</f>
        <v>SERV0060</v>
      </c>
      <c r="N169" t="s">
        <v>611</v>
      </c>
      <c r="P169">
        <f>VLOOKUP(Tabla3[[#This Row],[FECHA]],TASA[],2,FALSE)</f>
        <v>308.14999999999998</v>
      </c>
      <c r="Q169" s="32">
        <f t="shared" si="13"/>
        <v>-9.7355184163556725</v>
      </c>
      <c r="R169" t="s">
        <v>1056</v>
      </c>
    </row>
    <row r="170" spans="1:18" x14ac:dyDescent="0.25">
      <c r="A170" s="33">
        <v>46028</v>
      </c>
      <c r="B170" s="1">
        <v>1314</v>
      </c>
      <c r="C170" s="2" t="s">
        <v>1167</v>
      </c>
      <c r="D170" s="34">
        <v>-3000</v>
      </c>
      <c r="E170" t="s">
        <v>20</v>
      </c>
      <c r="F170" s="2" t="e">
        <f>VLOOKUP(Tabla3[[#This Row],[CONTABLE]],'SAPROV (2)'!L:M,2,FALSE)</f>
        <v>#N/A</v>
      </c>
      <c r="H170" t="s">
        <v>588</v>
      </c>
      <c r="I170" s="2" t="str">
        <f>VLOOKUP(Tabla3[[#This Row],[Deposito]],'SAPROV (2)'!D:E,2,FALSE)</f>
        <v>A01</v>
      </c>
      <c r="K170" s="23" t="s">
        <v>23</v>
      </c>
      <c r="L170" s="23" t="str">
        <f>VLOOKUP(Tabla3[[#This Row],[PROVEEDOR]],'SAPROV (2)'!A:B,2,FALSE)</f>
        <v>04</v>
      </c>
      <c r="M170" t="str">
        <f>VLOOKUP(Tabla3[[#This Row],[SERVICIO]],'SAPROV (2)'!I:J,2,FALSE)</f>
        <v>SERV0060</v>
      </c>
      <c r="N170" t="s">
        <v>611</v>
      </c>
      <c r="P170">
        <f>VLOOKUP(Tabla3[[#This Row],[FECHA]],TASA[],2,FALSE)</f>
        <v>308.14999999999998</v>
      </c>
      <c r="Q170" s="32">
        <f t="shared" si="13"/>
        <v>-9.7355184163556725</v>
      </c>
      <c r="R170" t="s">
        <v>1056</v>
      </c>
    </row>
    <row r="171" spans="1:18" x14ac:dyDescent="0.25">
      <c r="A171" s="33">
        <v>46028</v>
      </c>
      <c r="B171" s="1">
        <v>1312</v>
      </c>
      <c r="C171" s="2" t="s">
        <v>1167</v>
      </c>
      <c r="D171" s="34">
        <v>-3000</v>
      </c>
      <c r="E171" t="s">
        <v>20</v>
      </c>
      <c r="F171" s="2" t="e">
        <f>VLOOKUP(Tabla3[[#This Row],[CONTABLE]],'SAPROV (2)'!L:M,2,FALSE)</f>
        <v>#N/A</v>
      </c>
      <c r="H171" t="s">
        <v>588</v>
      </c>
      <c r="I171" s="2" t="str">
        <f>VLOOKUP(Tabla3[[#This Row],[Deposito]],'SAPROV (2)'!D:E,2,FALSE)</f>
        <v>A01</v>
      </c>
      <c r="K171" s="23" t="s">
        <v>23</v>
      </c>
      <c r="L171" s="23" t="str">
        <f>VLOOKUP(Tabla3[[#This Row],[PROVEEDOR]],'SAPROV (2)'!A:B,2,FALSE)</f>
        <v>04</v>
      </c>
      <c r="M171" t="str">
        <f>VLOOKUP(Tabla3[[#This Row],[SERVICIO]],'SAPROV (2)'!I:J,2,FALSE)</f>
        <v>SERV0060</v>
      </c>
      <c r="N171" t="s">
        <v>611</v>
      </c>
      <c r="P171">
        <f>VLOOKUP(Tabla3[[#This Row],[FECHA]],TASA[],2,FALSE)</f>
        <v>308.14999999999998</v>
      </c>
      <c r="Q171" s="32">
        <f t="shared" si="13"/>
        <v>-9.7355184163556725</v>
      </c>
      <c r="R171" t="s">
        <v>1056</v>
      </c>
    </row>
    <row r="172" spans="1:18" x14ac:dyDescent="0.25">
      <c r="A172" s="33">
        <v>46028</v>
      </c>
      <c r="B172" s="1">
        <v>1309</v>
      </c>
      <c r="C172" s="2" t="s">
        <v>1165</v>
      </c>
      <c r="D172" s="34">
        <v>-365.61</v>
      </c>
      <c r="E172" t="s">
        <v>20</v>
      </c>
      <c r="F172" s="2" t="e">
        <f>VLOOKUP(Tabla3[[#This Row],[CONTABLE]],'SAPROV (2)'!L:M,2,FALSE)</f>
        <v>#N/A</v>
      </c>
      <c r="H172" t="s">
        <v>588</v>
      </c>
      <c r="I172" s="2" t="str">
        <f>VLOOKUP(Tabla3[[#This Row],[Deposito]],'SAPROV (2)'!D:E,2,FALSE)</f>
        <v>A01</v>
      </c>
      <c r="K172" s="23" t="s">
        <v>23</v>
      </c>
      <c r="L172" s="2" t="str">
        <f>VLOOKUP(Tabla3[[#This Row],[PROVEEDOR]],'SAPROV (2)'!A:B,2,FALSE)</f>
        <v>04</v>
      </c>
      <c r="M172" t="str">
        <f>VLOOKUP(Tabla3[[#This Row],[SERVICIO]],'SAPROV (2)'!I:J,2,FALSE)</f>
        <v>SERV0060</v>
      </c>
      <c r="N172" t="s">
        <v>611</v>
      </c>
      <c r="P172">
        <f>VLOOKUP(Tabla3[[#This Row],[FECHA]],TASA[],2,FALSE)</f>
        <v>308.14999999999998</v>
      </c>
      <c r="Q172" s="32">
        <f t="shared" si="13"/>
        <v>-1.1864676294012657</v>
      </c>
      <c r="R172" t="s">
        <v>1056</v>
      </c>
    </row>
    <row r="173" spans="1:18" x14ac:dyDescent="0.25">
      <c r="A173" s="33">
        <v>46035</v>
      </c>
      <c r="B173" s="1">
        <v>1353</v>
      </c>
      <c r="C173" s="2" t="s">
        <v>1168</v>
      </c>
      <c r="D173" s="34">
        <v>-34500</v>
      </c>
      <c r="E173" t="s">
        <v>20</v>
      </c>
      <c r="F173" s="2" t="e">
        <f>VLOOKUP(Tabla3[[#This Row],[CONTABLE]],'SAPROV (2)'!L:M,2,FALSE)</f>
        <v>#N/A</v>
      </c>
      <c r="H173" t="s">
        <v>588</v>
      </c>
      <c r="I173" s="2" t="str">
        <f>VLOOKUP(Tabla3[[#This Row],[Deposito]],'SAPROV (2)'!D:E,2,FALSE)</f>
        <v>A01</v>
      </c>
      <c r="K173" s="23" t="s">
        <v>23</v>
      </c>
      <c r="L173" s="23" t="str">
        <f>VLOOKUP(Tabla3[[#This Row],[PROVEEDOR]],'SAPROV (2)'!A:B,2,FALSE)</f>
        <v>04</v>
      </c>
      <c r="M173" t="str">
        <f>VLOOKUP(Tabla3[[#This Row],[SERVICIO]],'SAPROV (2)'!I:J,2,FALSE)</f>
        <v>SERV0060</v>
      </c>
      <c r="N173" t="s">
        <v>611</v>
      </c>
      <c r="P173">
        <f>VLOOKUP(Tabla3[[#This Row],[FECHA]],TASA[],2,FALSE)</f>
        <v>330.38</v>
      </c>
      <c r="Q173" s="32">
        <f t="shared" si="13"/>
        <v>-104.42520733700587</v>
      </c>
      <c r="R173" t="s">
        <v>1056</v>
      </c>
    </row>
    <row r="174" spans="1:18" x14ac:dyDescent="0.25">
      <c r="A174" s="33">
        <v>46042</v>
      </c>
      <c r="B174" s="1">
        <v>1357</v>
      </c>
      <c r="C174" s="2" t="s">
        <v>1168</v>
      </c>
      <c r="D174" s="34">
        <v>-24000</v>
      </c>
      <c r="E174" t="s">
        <v>20</v>
      </c>
      <c r="F174" s="2" t="e">
        <f>VLOOKUP(Tabla3[[#This Row],[CONTABLE]],'SAPROV (2)'!L:M,2,FALSE)</f>
        <v>#N/A</v>
      </c>
      <c r="H174" t="s">
        <v>588</v>
      </c>
      <c r="I174" s="2" t="str">
        <f>VLOOKUP(Tabla3[[#This Row],[Deposito]],'SAPROV (2)'!D:E,2,FALSE)</f>
        <v>A01</v>
      </c>
      <c r="K174" s="23" t="s">
        <v>23</v>
      </c>
      <c r="L174" s="23" t="str">
        <f>VLOOKUP(Tabla3[[#This Row],[PROVEEDOR]],'SAPROV (2)'!A:B,2,FALSE)</f>
        <v>04</v>
      </c>
      <c r="M174" t="str">
        <f>VLOOKUP(Tabla3[[#This Row],[SERVICIO]],'SAPROV (2)'!I:J,2,FALSE)</f>
        <v>SERV0060</v>
      </c>
      <c r="N174" t="s">
        <v>611</v>
      </c>
      <c r="P174">
        <f>VLOOKUP(Tabla3[[#This Row],[FECHA]],TASA[],2,FALSE)</f>
        <v>344.51</v>
      </c>
      <c r="Q174" s="32">
        <f t="shared" si="13"/>
        <v>-69.664160691997338</v>
      </c>
      <c r="R174" t="s">
        <v>1056</v>
      </c>
    </row>
    <row r="175" spans="1:18" x14ac:dyDescent="0.25">
      <c r="A175" s="33">
        <v>46053</v>
      </c>
      <c r="B175" s="1">
        <v>1362</v>
      </c>
      <c r="C175" s="2" t="s">
        <v>1169</v>
      </c>
      <c r="D175" s="34">
        <v>-8</v>
      </c>
      <c r="E175" t="s">
        <v>20</v>
      </c>
      <c r="F175" s="2" t="e">
        <f>VLOOKUP(Tabla3[[#This Row],[CONTABLE]],'SAPROV (2)'!L:M,2,FALSE)</f>
        <v>#N/A</v>
      </c>
      <c r="H175" t="s">
        <v>588</v>
      </c>
      <c r="I175" s="2" t="str">
        <f>VLOOKUP(Tabla3[[#This Row],[Deposito]],'SAPROV (2)'!D:E,2,FALSE)</f>
        <v>A01</v>
      </c>
      <c r="K175" s="23" t="s">
        <v>23</v>
      </c>
      <c r="L175" s="2" t="str">
        <f>VLOOKUP(Tabla3[[#This Row],[PROVEEDOR]],'SAPROV (2)'!A:B,2,FALSE)</f>
        <v>04</v>
      </c>
      <c r="M175" t="str">
        <f>VLOOKUP(Tabla3[[#This Row],[SERVICIO]],'SAPROV (2)'!I:J,2,FALSE)</f>
        <v>SERV0060</v>
      </c>
      <c r="N175" t="s">
        <v>611</v>
      </c>
      <c r="P175">
        <f>VLOOKUP(Tabla3[[#This Row],[FECHA]],TASA[],2,FALSE)</f>
        <v>370.25</v>
      </c>
      <c r="Q175" s="32">
        <f t="shared" ref="Q175:Q176" si="14">D175/P175</f>
        <v>-2.160702228224173E-2</v>
      </c>
      <c r="R175" t="s">
        <v>1056</v>
      </c>
    </row>
    <row r="176" spans="1:18" x14ac:dyDescent="0.25">
      <c r="A176" s="33">
        <v>46053</v>
      </c>
      <c r="B176" s="1">
        <v>1361</v>
      </c>
      <c r="C176" s="2" t="s">
        <v>1170</v>
      </c>
      <c r="D176" s="34">
        <v>-8</v>
      </c>
      <c r="E176" t="s">
        <v>20</v>
      </c>
      <c r="F176" s="2" t="e">
        <f>VLOOKUP(Tabla3[[#This Row],[CONTABLE]],'SAPROV (2)'!L:M,2,FALSE)</f>
        <v>#N/A</v>
      </c>
      <c r="H176" t="s">
        <v>588</v>
      </c>
      <c r="I176" s="2" t="str">
        <f>VLOOKUP(Tabla3[[#This Row],[Deposito]],'SAPROV (2)'!D:E,2,FALSE)</f>
        <v>A01</v>
      </c>
      <c r="K176" s="23" t="s">
        <v>23</v>
      </c>
      <c r="L176" s="23" t="str">
        <f>VLOOKUP(Tabla3[[#This Row],[PROVEEDOR]],'SAPROV (2)'!A:B,2,FALSE)</f>
        <v>04</v>
      </c>
      <c r="M176" t="str">
        <f>VLOOKUP(Tabla3[[#This Row],[SERVICIO]],'SAPROV (2)'!I:J,2,FALSE)</f>
        <v>SERV0060</v>
      </c>
      <c r="N176" t="s">
        <v>611</v>
      </c>
      <c r="P176">
        <f>VLOOKUP(Tabla3[[#This Row],[FECHA]],TASA[],2,FALSE)</f>
        <v>370.25</v>
      </c>
      <c r="Q176" s="32">
        <f t="shared" si="14"/>
        <v>-2.160702228224173E-2</v>
      </c>
      <c r="R176" t="s">
        <v>1056</v>
      </c>
    </row>
    <row r="177" spans="1:18" x14ac:dyDescent="0.25">
      <c r="A177" s="33">
        <v>46027</v>
      </c>
      <c r="B177" s="1">
        <v>1842</v>
      </c>
      <c r="C177" s="2" t="s">
        <v>1174</v>
      </c>
      <c r="D177" s="34">
        <v>-3048</v>
      </c>
      <c r="E177" t="s">
        <v>20</v>
      </c>
      <c r="F177" s="2" t="e">
        <f>VLOOKUP(Tabla3[[#This Row],[CONTABLE]],'SAPROV (2)'!L:M,2,FALSE)</f>
        <v>#N/A</v>
      </c>
      <c r="H177" t="s">
        <v>1274</v>
      </c>
      <c r="I177" s="2" t="str">
        <f>VLOOKUP(Tabla3[[#This Row],[Deposito]],'SAPROV (2)'!D:E,2,FALSE)</f>
        <v>02</v>
      </c>
      <c r="K177" t="s">
        <v>54</v>
      </c>
      <c r="L177" s="23" t="str">
        <f>VLOOKUP(Tabla3[[#This Row],[PROVEEDOR]],'SAPROV (2)'!A:B,2,FALSE)</f>
        <v>12</v>
      </c>
      <c r="M177" t="str">
        <f>VLOOKUP(Tabla3[[#This Row],[SERVICIO]],'SAPROV (2)'!I:J,2,FALSE)</f>
        <v>SERV0038</v>
      </c>
      <c r="N177" t="s">
        <v>677</v>
      </c>
      <c r="P177">
        <f>VLOOKUP(Tabla3[[#This Row],[FECHA]],TASA[],2,FALSE)</f>
        <v>304.68</v>
      </c>
      <c r="Q177" s="32">
        <f t="shared" ref="Q177:Q191" si="15">D177/P177</f>
        <v>-10.003938558487594</v>
      </c>
      <c r="R177" t="s">
        <v>95</v>
      </c>
    </row>
    <row r="178" spans="1:18" x14ac:dyDescent="0.25">
      <c r="A178" s="33">
        <v>46027</v>
      </c>
      <c r="B178" s="1">
        <v>5926</v>
      </c>
      <c r="C178" s="2" t="s">
        <v>1175</v>
      </c>
      <c r="D178" s="34">
        <v>-18282</v>
      </c>
      <c r="E178" t="s">
        <v>20</v>
      </c>
      <c r="F178" s="2" t="e">
        <f>VLOOKUP(Tabla3[[#This Row],[CONTABLE]],'SAPROV (2)'!L:M,2,FALSE)</f>
        <v>#N/A</v>
      </c>
      <c r="H178" t="s">
        <v>1274</v>
      </c>
      <c r="I178" s="2" t="str">
        <f>VLOOKUP(Tabla3[[#This Row],[Deposito]],'SAPROV (2)'!D:E,2,FALSE)</f>
        <v>02</v>
      </c>
      <c r="K178" t="s">
        <v>54</v>
      </c>
      <c r="L178" s="2" t="str">
        <f>VLOOKUP(Tabla3[[#This Row],[PROVEEDOR]],'SAPROV (2)'!A:B,2,FALSE)</f>
        <v>12</v>
      </c>
      <c r="M178" t="str">
        <f>VLOOKUP(Tabla3[[#This Row],[SERVICIO]],'SAPROV (2)'!I:J,2,FALSE)</f>
        <v>SERV0038</v>
      </c>
      <c r="N178" t="s">
        <v>677</v>
      </c>
      <c r="P178">
        <f>VLOOKUP(Tabla3[[#This Row],[FECHA]],TASA[],2,FALSE)</f>
        <v>304.68</v>
      </c>
      <c r="Q178" s="32">
        <f t="shared" si="15"/>
        <v>-60.00393855848759</v>
      </c>
      <c r="R178" t="s">
        <v>95</v>
      </c>
    </row>
    <row r="179" spans="1:18" x14ac:dyDescent="0.25">
      <c r="A179" s="33">
        <v>46027</v>
      </c>
      <c r="C179" s="2" t="s">
        <v>1176</v>
      </c>
      <c r="D179" s="34">
        <v>-6509</v>
      </c>
      <c r="E179" t="s">
        <v>20</v>
      </c>
      <c r="F179" s="2" t="e">
        <f>VLOOKUP(Tabla3[[#This Row],[CONTABLE]],'SAPROV (2)'!L:M,2,FALSE)</f>
        <v>#N/A</v>
      </c>
      <c r="H179" t="s">
        <v>1274</v>
      </c>
      <c r="I179" s="2" t="str">
        <f>VLOOKUP(Tabla3[[#This Row],[Deposito]],'SAPROV (2)'!D:E,2,FALSE)</f>
        <v>02</v>
      </c>
      <c r="K179" t="s">
        <v>54</v>
      </c>
      <c r="L179" s="23" t="str">
        <f>VLOOKUP(Tabla3[[#This Row],[PROVEEDOR]],'SAPROV (2)'!A:B,2,FALSE)</f>
        <v>12</v>
      </c>
      <c r="M179" t="str">
        <f>VLOOKUP(Tabla3[[#This Row],[SERVICIO]],'SAPROV (2)'!I:J,2,FALSE)</f>
        <v>SERV0038</v>
      </c>
      <c r="N179" t="s">
        <v>677</v>
      </c>
      <c r="P179">
        <f>VLOOKUP(Tabla3[[#This Row],[FECHA]],TASA[],2,FALSE)</f>
        <v>304.68</v>
      </c>
      <c r="Q179" s="32">
        <f t="shared" si="15"/>
        <v>-21.363397663121965</v>
      </c>
      <c r="R179" t="s">
        <v>95</v>
      </c>
    </row>
    <row r="180" spans="1:18" x14ac:dyDescent="0.25">
      <c r="A180" s="33">
        <v>46027</v>
      </c>
      <c r="B180" s="1">
        <v>2142</v>
      </c>
      <c r="C180" s="2" t="s">
        <v>1177</v>
      </c>
      <c r="D180" s="34">
        <v>-3046.8</v>
      </c>
      <c r="E180" t="s">
        <v>20</v>
      </c>
      <c r="F180" s="2" t="e">
        <f>VLOOKUP(Tabla3[[#This Row],[CONTABLE]],'SAPROV (2)'!L:M,2,FALSE)</f>
        <v>#N/A</v>
      </c>
      <c r="H180" t="s">
        <v>1281</v>
      </c>
      <c r="I180" s="2" t="str">
        <f>VLOOKUP(Tabla3[[#This Row],[Deposito]],'SAPROV (2)'!D:E,2,FALSE)</f>
        <v>07</v>
      </c>
      <c r="K180" t="s">
        <v>54</v>
      </c>
      <c r="L180" s="23" t="str">
        <f>VLOOKUP(Tabla3[[#This Row],[PROVEEDOR]],'SAPROV (2)'!A:B,2,FALSE)</f>
        <v>12</v>
      </c>
      <c r="M180" t="str">
        <f>VLOOKUP(Tabla3[[#This Row],[SERVICIO]],'SAPROV (2)'!I:J,2,FALSE)</f>
        <v>SERV0038</v>
      </c>
      <c r="N180" t="s">
        <v>677</v>
      </c>
      <c r="P180">
        <f>VLOOKUP(Tabla3[[#This Row],[FECHA]],TASA[],2,FALSE)</f>
        <v>304.68</v>
      </c>
      <c r="Q180" s="32">
        <f t="shared" si="15"/>
        <v>-10</v>
      </c>
      <c r="R180" t="s">
        <v>95</v>
      </c>
    </row>
    <row r="181" spans="1:18" x14ac:dyDescent="0.25">
      <c r="A181" s="33">
        <v>46027</v>
      </c>
      <c r="B181" s="1">
        <v>1040</v>
      </c>
      <c r="C181" s="2" t="s">
        <v>1178</v>
      </c>
      <c r="D181" s="34">
        <v>-3616.44</v>
      </c>
      <c r="E181" t="s">
        <v>20</v>
      </c>
      <c r="F181" s="2" t="e">
        <f>VLOOKUP(Tabla3[[#This Row],[CONTABLE]],'SAPROV (2)'!L:M,2,FALSE)</f>
        <v>#N/A</v>
      </c>
      <c r="H181" t="s">
        <v>588</v>
      </c>
      <c r="I181" s="2" t="str">
        <f>VLOOKUP(Tabla3[[#This Row],[Deposito]],'SAPROV (2)'!D:E,2,FALSE)</f>
        <v>A01</v>
      </c>
      <c r="K181" s="2" t="s">
        <v>50</v>
      </c>
      <c r="L181" s="2" t="str">
        <f>VLOOKUP(Tabla3[[#This Row],[PROVEEDOR]],'SAPROV (2)'!A:B,2,FALSE)</f>
        <v>10</v>
      </c>
      <c r="M181" t="str">
        <f>VLOOKUP(Tabla3[[#This Row],[SERVICIO]],'SAPROV (2)'!I:J,2,FALSE)</f>
        <v>SERV0145</v>
      </c>
      <c r="N181" t="s">
        <v>932</v>
      </c>
      <c r="P181">
        <f>VLOOKUP(Tabla3[[#This Row],[FECHA]],TASA[],2,FALSE)</f>
        <v>304.68</v>
      </c>
      <c r="Q181" s="32">
        <f t="shared" si="15"/>
        <v>-11.869633714060654</v>
      </c>
      <c r="R181" t="s">
        <v>95</v>
      </c>
    </row>
    <row r="182" spans="1:18" x14ac:dyDescent="0.25">
      <c r="A182" s="33">
        <v>46028</v>
      </c>
      <c r="B182" s="1">
        <v>6876</v>
      </c>
      <c r="C182" s="2" t="s">
        <v>1179</v>
      </c>
      <c r="D182" s="34">
        <v>-1525</v>
      </c>
      <c r="E182" t="s">
        <v>20</v>
      </c>
      <c r="F182" s="2" t="e">
        <f>VLOOKUP(Tabla3[[#This Row],[CONTABLE]],'SAPROV (2)'!L:M,2,FALSE)</f>
        <v>#N/A</v>
      </c>
      <c r="H182" t="s">
        <v>1281</v>
      </c>
      <c r="I182" s="2" t="str">
        <f>VLOOKUP(Tabla3[[#This Row],[Deposito]],'SAPROV (2)'!D:E,2,FALSE)</f>
        <v>07</v>
      </c>
      <c r="K182" t="s">
        <v>54</v>
      </c>
      <c r="L182" s="23" t="str">
        <f>VLOOKUP(Tabla3[[#This Row],[PROVEEDOR]],'SAPROV (2)'!A:B,2,FALSE)</f>
        <v>12</v>
      </c>
      <c r="M182" t="str">
        <f>VLOOKUP(Tabla3[[#This Row],[SERVICIO]],'SAPROV (2)'!I:J,2,FALSE)</f>
        <v>SERV0038</v>
      </c>
      <c r="N182" t="s">
        <v>677</v>
      </c>
      <c r="P182">
        <f>VLOOKUP(Tabla3[[#This Row],[FECHA]],TASA[],2,FALSE)</f>
        <v>308.14999999999998</v>
      </c>
      <c r="Q182" s="32">
        <f t="shared" si="15"/>
        <v>-4.9488885283141331</v>
      </c>
      <c r="R182" t="s">
        <v>95</v>
      </c>
    </row>
    <row r="183" spans="1:18" x14ac:dyDescent="0.25">
      <c r="A183" s="33">
        <v>46028</v>
      </c>
      <c r="B183" s="1">
        <v>3975</v>
      </c>
      <c r="C183" s="2" t="s">
        <v>1180</v>
      </c>
      <c r="D183" s="34">
        <v>-8936.64</v>
      </c>
      <c r="E183" t="s">
        <v>20</v>
      </c>
      <c r="F183" s="2" t="e">
        <f>VLOOKUP(Tabla3[[#This Row],[CONTABLE]],'SAPROV (2)'!L:M,2,FALSE)</f>
        <v>#N/A</v>
      </c>
      <c r="H183" t="s">
        <v>588</v>
      </c>
      <c r="I183" s="2" t="str">
        <f>VLOOKUP(Tabla3[[#This Row],[Deposito]],'SAPROV (2)'!D:E,2,FALSE)</f>
        <v>A01</v>
      </c>
      <c r="K183" t="s">
        <v>54</v>
      </c>
      <c r="L183" s="23" t="str">
        <f>VLOOKUP(Tabla3[[#This Row],[PROVEEDOR]],'SAPROV (2)'!A:B,2,FALSE)</f>
        <v>12</v>
      </c>
      <c r="M183" t="str">
        <f>VLOOKUP(Tabla3[[#This Row],[SERVICIO]],'SAPROV (2)'!I:J,2,FALSE)</f>
        <v>SERV0038</v>
      </c>
      <c r="N183" t="s">
        <v>677</v>
      </c>
      <c r="P183">
        <f>VLOOKUP(Tabla3[[#This Row],[FECHA]],TASA[],2,FALSE)</f>
        <v>308.14999999999998</v>
      </c>
      <c r="Q183" s="32">
        <f t="shared" si="15"/>
        <v>-29.000941100113582</v>
      </c>
      <c r="R183" t="s">
        <v>95</v>
      </c>
    </row>
    <row r="184" spans="1:18" x14ac:dyDescent="0.25">
      <c r="A184" s="33">
        <v>46028</v>
      </c>
      <c r="B184" s="1">
        <v>7394</v>
      </c>
      <c r="C184" s="2" t="s">
        <v>1181</v>
      </c>
      <c r="D184" s="34">
        <v>-10785.6</v>
      </c>
      <c r="E184" t="s">
        <v>20</v>
      </c>
      <c r="F184" s="2" t="e">
        <f>VLOOKUP(Tabla3[[#This Row],[CONTABLE]],'SAPROV (2)'!L:M,2,FALSE)</f>
        <v>#N/A</v>
      </c>
      <c r="H184" t="s">
        <v>1281</v>
      </c>
      <c r="I184" s="2" t="str">
        <f>VLOOKUP(Tabla3[[#This Row],[Deposito]],'SAPROV (2)'!D:E,2,FALSE)</f>
        <v>07</v>
      </c>
      <c r="K184" t="s">
        <v>54</v>
      </c>
      <c r="L184" s="2" t="str">
        <f>VLOOKUP(Tabla3[[#This Row],[PROVEEDOR]],'SAPROV (2)'!A:B,2,FALSE)</f>
        <v>12</v>
      </c>
      <c r="M184" t="str">
        <f>VLOOKUP(Tabla3[[#This Row],[SERVICIO]],'SAPROV (2)'!I:J,2,FALSE)</f>
        <v>SERV0038</v>
      </c>
      <c r="N184" t="s">
        <v>677</v>
      </c>
      <c r="P184">
        <f>VLOOKUP(Tabla3[[#This Row],[FECHA]],TASA[],2,FALSE)</f>
        <v>308.14999999999998</v>
      </c>
      <c r="Q184" s="32">
        <f t="shared" si="15"/>
        <v>-35.001135810481912</v>
      </c>
      <c r="R184" t="s">
        <v>95</v>
      </c>
    </row>
    <row r="185" spans="1:18" x14ac:dyDescent="0.25">
      <c r="A185" s="33">
        <v>46029</v>
      </c>
      <c r="B185" s="1">
        <v>152</v>
      </c>
      <c r="C185" s="2" t="s">
        <v>1182</v>
      </c>
      <c r="D185" s="34">
        <v>-1560</v>
      </c>
      <c r="E185" t="s">
        <v>20</v>
      </c>
      <c r="F185" s="2" t="e">
        <f>VLOOKUP(Tabla3[[#This Row],[CONTABLE]],'SAPROV (2)'!L:M,2,FALSE)</f>
        <v>#N/A</v>
      </c>
      <c r="H185" t="s">
        <v>1274</v>
      </c>
      <c r="I185" s="2" t="str">
        <f>VLOOKUP(Tabla3[[#This Row],[Deposito]],'SAPROV (2)'!D:E,2,FALSE)</f>
        <v>02</v>
      </c>
      <c r="K185" t="s">
        <v>54</v>
      </c>
      <c r="L185" s="23" t="str">
        <f>VLOOKUP(Tabla3[[#This Row],[PROVEEDOR]],'SAPROV (2)'!A:B,2,FALSE)</f>
        <v>12</v>
      </c>
      <c r="M185" t="str">
        <f>VLOOKUP(Tabla3[[#This Row],[SERVICIO]],'SAPROV (2)'!I:J,2,FALSE)</f>
        <v>SERV0038</v>
      </c>
      <c r="N185" t="s">
        <v>677</v>
      </c>
      <c r="P185">
        <f>VLOOKUP(Tabla3[[#This Row],[FECHA]],TASA[],2,FALSE)</f>
        <v>311.88</v>
      </c>
      <c r="Q185" s="32">
        <f t="shared" si="15"/>
        <v>-5.0019238168526359</v>
      </c>
      <c r="R185" t="s">
        <v>95</v>
      </c>
    </row>
    <row r="186" spans="1:18" x14ac:dyDescent="0.25">
      <c r="A186" s="33">
        <v>46029</v>
      </c>
      <c r="B186" s="1">
        <v>5146</v>
      </c>
      <c r="C186" s="2" t="s">
        <v>1183</v>
      </c>
      <c r="D186" s="34">
        <v>-1457</v>
      </c>
      <c r="E186" t="s">
        <v>20</v>
      </c>
      <c r="F186" s="2" t="e">
        <f>VLOOKUP(Tabla3[[#This Row],[CONTABLE]],'SAPROV (2)'!L:M,2,FALSE)</f>
        <v>#N/A</v>
      </c>
      <c r="H186" t="s">
        <v>1274</v>
      </c>
      <c r="I186" s="2" t="str">
        <f>VLOOKUP(Tabla3[[#This Row],[Deposito]],'SAPROV (2)'!D:E,2,FALSE)</f>
        <v>02</v>
      </c>
      <c r="K186" t="s">
        <v>54</v>
      </c>
      <c r="L186" s="23" t="str">
        <f>VLOOKUP(Tabla3[[#This Row],[PROVEEDOR]],'SAPROV (2)'!A:B,2,FALSE)</f>
        <v>12</v>
      </c>
      <c r="M186" t="str">
        <f>VLOOKUP(Tabla3[[#This Row],[SERVICIO]],'SAPROV (2)'!I:J,2,FALSE)</f>
        <v>SERV0038</v>
      </c>
      <c r="N186" t="s">
        <v>677</v>
      </c>
      <c r="P186">
        <f>VLOOKUP(Tabla3[[#This Row],[FECHA]],TASA[],2,FALSE)</f>
        <v>311.88</v>
      </c>
      <c r="Q186" s="32">
        <f t="shared" si="15"/>
        <v>-4.6716685904835193</v>
      </c>
      <c r="R186" t="s">
        <v>95</v>
      </c>
    </row>
    <row r="187" spans="1:18" x14ac:dyDescent="0.25">
      <c r="A187" s="33">
        <v>46029</v>
      </c>
      <c r="B187" s="1">
        <v>6251</v>
      </c>
      <c r="C187" s="2" t="s">
        <v>1184</v>
      </c>
      <c r="D187" s="34">
        <v>-21833</v>
      </c>
      <c r="E187" t="s">
        <v>20</v>
      </c>
      <c r="F187" s="2" t="e">
        <f>VLOOKUP(Tabla3[[#This Row],[CONTABLE]],'SAPROV (2)'!L:M,2,FALSE)</f>
        <v>#N/A</v>
      </c>
      <c r="H187" t="s">
        <v>1281</v>
      </c>
      <c r="I187" s="2" t="str">
        <f>VLOOKUP(Tabla3[[#This Row],[Deposito]],'SAPROV (2)'!D:E,2,FALSE)</f>
        <v>07</v>
      </c>
      <c r="K187" t="s">
        <v>54</v>
      </c>
      <c r="L187" s="2" t="str">
        <f>VLOOKUP(Tabla3[[#This Row],[PROVEEDOR]],'SAPROV (2)'!A:B,2,FALSE)</f>
        <v>12</v>
      </c>
      <c r="M187" t="str">
        <f>VLOOKUP(Tabla3[[#This Row],[SERVICIO]],'SAPROV (2)'!I:J,2,FALSE)</f>
        <v>SERV0038</v>
      </c>
      <c r="N187" t="s">
        <v>677</v>
      </c>
      <c r="P187">
        <f>VLOOKUP(Tabla3[[#This Row],[FECHA]],TASA[],2,FALSE)</f>
        <v>311.88</v>
      </c>
      <c r="Q187" s="32">
        <f t="shared" si="15"/>
        <v>-70.00448890598949</v>
      </c>
      <c r="R187" t="s">
        <v>95</v>
      </c>
    </row>
    <row r="188" spans="1:18" x14ac:dyDescent="0.25">
      <c r="A188" s="33">
        <v>46029</v>
      </c>
      <c r="B188" s="1">
        <v>6396</v>
      </c>
      <c r="C188" s="2" t="s">
        <v>1185</v>
      </c>
      <c r="D188" s="34">
        <v>-6238</v>
      </c>
      <c r="E188" t="s">
        <v>20</v>
      </c>
      <c r="F188" s="2" t="e">
        <f>VLOOKUP(Tabla3[[#This Row],[CONTABLE]],'SAPROV (2)'!L:M,2,FALSE)</f>
        <v>#N/A</v>
      </c>
      <c r="H188" t="s">
        <v>1274</v>
      </c>
      <c r="I188" s="2" t="str">
        <f>VLOOKUP(Tabla3[[#This Row],[Deposito]],'SAPROV (2)'!D:E,2,FALSE)</f>
        <v>02</v>
      </c>
      <c r="K188" t="s">
        <v>54</v>
      </c>
      <c r="L188" s="23" t="str">
        <f>VLOOKUP(Tabla3[[#This Row],[PROVEEDOR]],'SAPROV (2)'!A:B,2,FALSE)</f>
        <v>12</v>
      </c>
      <c r="M188" t="str">
        <f>VLOOKUP(Tabla3[[#This Row],[SERVICIO]],'SAPROV (2)'!I:J,2,FALSE)</f>
        <v>SERV0038</v>
      </c>
      <c r="N188" t="s">
        <v>677</v>
      </c>
      <c r="P188">
        <f>VLOOKUP(Tabla3[[#This Row],[FECHA]],TASA[],2,FALSE)</f>
        <v>311.88</v>
      </c>
      <c r="Q188" s="32">
        <f t="shared" si="15"/>
        <v>-20.001282544568426</v>
      </c>
      <c r="R188" t="s">
        <v>95</v>
      </c>
    </row>
    <row r="189" spans="1:18" x14ac:dyDescent="0.25">
      <c r="A189" s="33">
        <v>46029</v>
      </c>
      <c r="B189" s="1">
        <v>6921</v>
      </c>
      <c r="C189" s="2" t="s">
        <v>1186</v>
      </c>
      <c r="D189" s="34">
        <v>-1560</v>
      </c>
      <c r="E189" t="s">
        <v>20</v>
      </c>
      <c r="F189" s="2" t="e">
        <f>VLOOKUP(Tabla3[[#This Row],[CONTABLE]],'SAPROV (2)'!L:M,2,FALSE)</f>
        <v>#N/A</v>
      </c>
      <c r="H189" t="s">
        <v>1274</v>
      </c>
      <c r="I189" s="2" t="str">
        <f>VLOOKUP(Tabla3[[#This Row],[Deposito]],'SAPROV (2)'!D:E,2,FALSE)</f>
        <v>02</v>
      </c>
      <c r="K189" t="s">
        <v>54</v>
      </c>
      <c r="L189" s="23" t="str">
        <f>VLOOKUP(Tabla3[[#This Row],[PROVEEDOR]],'SAPROV (2)'!A:B,2,FALSE)</f>
        <v>12</v>
      </c>
      <c r="M189" t="str">
        <f>VLOOKUP(Tabla3[[#This Row],[SERVICIO]],'SAPROV (2)'!I:J,2,FALSE)</f>
        <v>SERV0038</v>
      </c>
      <c r="N189" t="s">
        <v>677</v>
      </c>
      <c r="P189">
        <f>VLOOKUP(Tabla3[[#This Row],[FECHA]],TASA[],2,FALSE)</f>
        <v>311.88</v>
      </c>
      <c r="Q189" s="32">
        <f t="shared" si="15"/>
        <v>-5.0019238168526359</v>
      </c>
      <c r="R189" t="s">
        <v>95</v>
      </c>
    </row>
    <row r="190" spans="1:18" x14ac:dyDescent="0.25">
      <c r="A190" s="33">
        <v>46029</v>
      </c>
      <c r="B190" s="1">
        <v>7291</v>
      </c>
      <c r="C190" s="2" t="s">
        <v>1187</v>
      </c>
      <c r="D190" s="34">
        <v>-3119</v>
      </c>
      <c r="E190" t="s">
        <v>20</v>
      </c>
      <c r="F190" s="2" t="e">
        <f>VLOOKUP(Tabla3[[#This Row],[CONTABLE]],'SAPROV (2)'!L:M,2,FALSE)</f>
        <v>#N/A</v>
      </c>
      <c r="H190" t="s">
        <v>1274</v>
      </c>
      <c r="I190" s="2" t="str">
        <f>VLOOKUP(Tabla3[[#This Row],[Deposito]],'SAPROV (2)'!D:E,2,FALSE)</f>
        <v>02</v>
      </c>
      <c r="K190" t="s">
        <v>54</v>
      </c>
      <c r="L190" s="2" t="str">
        <f>VLOOKUP(Tabla3[[#This Row],[PROVEEDOR]],'SAPROV (2)'!A:B,2,FALSE)</f>
        <v>12</v>
      </c>
      <c r="M190" t="str">
        <f>VLOOKUP(Tabla3[[#This Row],[SERVICIO]],'SAPROV (2)'!I:J,2,FALSE)</f>
        <v>SERV0038</v>
      </c>
      <c r="N190" t="s">
        <v>677</v>
      </c>
      <c r="P190">
        <f>VLOOKUP(Tabla3[[#This Row],[FECHA]],TASA[],2,FALSE)</f>
        <v>311.88</v>
      </c>
      <c r="Q190" s="32">
        <f t="shared" si="15"/>
        <v>-10.000641272284213</v>
      </c>
      <c r="R190" t="s">
        <v>95</v>
      </c>
    </row>
    <row r="191" spans="1:18" x14ac:dyDescent="0.25">
      <c r="A191" s="33">
        <v>46029</v>
      </c>
      <c r="B191" s="1">
        <v>7693</v>
      </c>
      <c r="C191" s="2" t="s">
        <v>1188</v>
      </c>
      <c r="D191" s="34">
        <v>-1560</v>
      </c>
      <c r="E191" t="s">
        <v>20</v>
      </c>
      <c r="F191" s="2" t="e">
        <f>VLOOKUP(Tabla3[[#This Row],[CONTABLE]],'SAPROV (2)'!L:M,2,FALSE)</f>
        <v>#N/A</v>
      </c>
      <c r="H191" t="s">
        <v>1274</v>
      </c>
      <c r="I191" s="2" t="str">
        <f>VLOOKUP(Tabla3[[#This Row],[Deposito]],'SAPROV (2)'!D:E,2,FALSE)</f>
        <v>02</v>
      </c>
      <c r="K191" t="s">
        <v>54</v>
      </c>
      <c r="L191" s="23" t="str">
        <f>VLOOKUP(Tabla3[[#This Row],[PROVEEDOR]],'SAPROV (2)'!A:B,2,FALSE)</f>
        <v>12</v>
      </c>
      <c r="M191" t="str">
        <f>VLOOKUP(Tabla3[[#This Row],[SERVICIO]],'SAPROV (2)'!I:J,2,FALSE)</f>
        <v>SERV0038</v>
      </c>
      <c r="N191" t="s">
        <v>677</v>
      </c>
      <c r="P191">
        <f>VLOOKUP(Tabla3[[#This Row],[FECHA]],TASA[],2,FALSE)</f>
        <v>311.88</v>
      </c>
      <c r="Q191" s="32">
        <f t="shared" si="15"/>
        <v>-5.0019238168526359</v>
      </c>
      <c r="R191" t="s">
        <v>95</v>
      </c>
    </row>
    <row r="192" spans="1:18" x14ac:dyDescent="0.25">
      <c r="A192" s="33">
        <v>46029</v>
      </c>
      <c r="B192" s="1">
        <v>8278</v>
      </c>
      <c r="C192" s="2" t="s">
        <v>1189</v>
      </c>
      <c r="D192" s="34">
        <v>-15594</v>
      </c>
      <c r="E192" t="s">
        <v>20</v>
      </c>
      <c r="F192" s="2" t="e">
        <f>VLOOKUP(Tabla3[[#This Row],[CONTABLE]],'SAPROV (2)'!L:M,2,FALSE)</f>
        <v>#N/A</v>
      </c>
      <c r="H192" t="s">
        <v>1281</v>
      </c>
      <c r="I192" s="2" t="str">
        <f>VLOOKUP(Tabla3[[#This Row],[Deposito]],'SAPROV (2)'!D:E,2,FALSE)</f>
        <v>07</v>
      </c>
      <c r="K192" t="s">
        <v>54</v>
      </c>
      <c r="L192" s="23" t="str">
        <f>VLOOKUP(Tabla3[[#This Row],[PROVEEDOR]],'SAPROV (2)'!A:B,2,FALSE)</f>
        <v>12</v>
      </c>
      <c r="M192" t="str">
        <f>VLOOKUP(Tabla3[[#This Row],[SERVICIO]],'SAPROV (2)'!I:J,2,FALSE)</f>
        <v>SERV0038</v>
      </c>
      <c r="N192" t="s">
        <v>677</v>
      </c>
      <c r="P192">
        <f>VLOOKUP(Tabla3[[#This Row],[FECHA]],TASA[],2,FALSE)</f>
        <v>311.88</v>
      </c>
      <c r="Q192" s="32">
        <f t="shared" ref="Q192:Q197" si="16">D192/P192</f>
        <v>-50</v>
      </c>
      <c r="R192" t="s">
        <v>95</v>
      </c>
    </row>
    <row r="193" spans="1:18" x14ac:dyDescent="0.25">
      <c r="A193" s="33">
        <v>46030</v>
      </c>
      <c r="B193" s="1">
        <v>1934</v>
      </c>
      <c r="C193" s="2" t="s">
        <v>1190</v>
      </c>
      <c r="D193" s="34">
        <v>-3210.4</v>
      </c>
      <c r="E193" t="s">
        <v>20</v>
      </c>
      <c r="F193" s="2" t="e">
        <f>VLOOKUP(Tabla3[[#This Row],[CONTABLE]],'SAPROV (2)'!L:M,2,FALSE)</f>
        <v>#N/A</v>
      </c>
      <c r="H193" t="s">
        <v>1281</v>
      </c>
      <c r="I193" s="2" t="str">
        <f>VLOOKUP(Tabla3[[#This Row],[Deposito]],'SAPROV (2)'!D:E,2,FALSE)</f>
        <v>07</v>
      </c>
      <c r="K193" t="s">
        <v>54</v>
      </c>
      <c r="L193" s="2" t="str">
        <f>VLOOKUP(Tabla3[[#This Row],[PROVEEDOR]],'SAPROV (2)'!A:B,2,FALSE)</f>
        <v>12</v>
      </c>
      <c r="M193" t="str">
        <f>VLOOKUP(Tabla3[[#This Row],[SERVICIO]],'SAPROV (2)'!I:J,2,FALSE)</f>
        <v>SERV0038</v>
      </c>
      <c r="N193" t="s">
        <v>677</v>
      </c>
      <c r="P193">
        <f>VLOOKUP(Tabla3[[#This Row],[FECHA]],TASA[],2,FALSE)</f>
        <v>321.02999999999997</v>
      </c>
      <c r="Q193" s="32">
        <f t="shared" si="16"/>
        <v>-10.000311497367848</v>
      </c>
      <c r="R193" t="s">
        <v>95</v>
      </c>
    </row>
    <row r="194" spans="1:18" x14ac:dyDescent="0.25">
      <c r="A194" s="33">
        <v>46030</v>
      </c>
      <c r="B194" s="1">
        <v>3348</v>
      </c>
      <c r="C194" s="2" t="s">
        <v>1191</v>
      </c>
      <c r="D194" s="34">
        <v>-5779</v>
      </c>
      <c r="E194" t="s">
        <v>20</v>
      </c>
      <c r="F194" s="2" t="e">
        <f>VLOOKUP(Tabla3[[#This Row],[CONTABLE]],'SAPROV (2)'!L:M,2,FALSE)</f>
        <v>#N/A</v>
      </c>
      <c r="H194" t="s">
        <v>1280</v>
      </c>
      <c r="I194" s="2" t="str">
        <f>VLOOKUP(Tabla3[[#This Row],[Deposito]],'SAPROV (2)'!D:E,2,FALSE)</f>
        <v>01</v>
      </c>
      <c r="K194" t="s">
        <v>54</v>
      </c>
      <c r="L194" s="23" t="str">
        <f>VLOOKUP(Tabla3[[#This Row],[PROVEEDOR]],'SAPROV (2)'!A:B,2,FALSE)</f>
        <v>12</v>
      </c>
      <c r="M194" t="str">
        <f>VLOOKUP(Tabla3[[#This Row],[SERVICIO]],'SAPROV (2)'!I:J,2,FALSE)</f>
        <v>SERV0038</v>
      </c>
      <c r="N194" t="s">
        <v>677</v>
      </c>
      <c r="P194">
        <f>VLOOKUP(Tabla3[[#This Row],[FECHA]],TASA[],2,FALSE)</f>
        <v>321.02999999999997</v>
      </c>
      <c r="Q194" s="32">
        <f t="shared" si="16"/>
        <v>-18.001432887892101</v>
      </c>
      <c r="R194" t="s">
        <v>95</v>
      </c>
    </row>
    <row r="195" spans="1:18" x14ac:dyDescent="0.25">
      <c r="A195" s="33">
        <v>46030</v>
      </c>
      <c r="B195" s="1">
        <v>2023</v>
      </c>
      <c r="C195" s="2" t="s">
        <v>1192</v>
      </c>
      <c r="D195" s="34">
        <v>-8026</v>
      </c>
      <c r="E195" t="s">
        <v>20</v>
      </c>
      <c r="F195" s="2" t="e">
        <f>VLOOKUP(Tabla3[[#This Row],[CONTABLE]],'SAPROV (2)'!L:M,2,FALSE)</f>
        <v>#N/A</v>
      </c>
      <c r="H195" t="s">
        <v>588</v>
      </c>
      <c r="I195" s="2" t="str">
        <f>VLOOKUP(Tabla3[[#This Row],[Deposito]],'SAPROV (2)'!D:E,2,FALSE)</f>
        <v>A01</v>
      </c>
      <c r="K195" t="s">
        <v>54</v>
      </c>
      <c r="L195" s="23" t="str">
        <f>VLOOKUP(Tabla3[[#This Row],[PROVEEDOR]],'SAPROV (2)'!A:B,2,FALSE)</f>
        <v>12</v>
      </c>
      <c r="M195" t="str">
        <f>VLOOKUP(Tabla3[[#This Row],[SERVICIO]],'SAPROV (2)'!I:J,2,FALSE)</f>
        <v>SERV0038</v>
      </c>
      <c r="N195" t="s">
        <v>677</v>
      </c>
      <c r="P195">
        <f>VLOOKUP(Tabla3[[#This Row],[FECHA]],TASA[],2,FALSE)</f>
        <v>321.02999999999997</v>
      </c>
      <c r="Q195" s="32">
        <f t="shared" si="16"/>
        <v>-25.00077874341962</v>
      </c>
      <c r="R195" t="s">
        <v>95</v>
      </c>
    </row>
    <row r="196" spans="1:18" x14ac:dyDescent="0.25">
      <c r="A196" s="33">
        <v>46030</v>
      </c>
      <c r="C196" s="2" t="s">
        <v>1193</v>
      </c>
      <c r="D196" s="34">
        <v>-311.5</v>
      </c>
      <c r="E196" t="s">
        <v>20</v>
      </c>
      <c r="F196" s="2" t="e">
        <f>VLOOKUP(Tabla3[[#This Row],[CONTABLE]],'SAPROV (2)'!L:M,2,FALSE)</f>
        <v>#N/A</v>
      </c>
      <c r="H196" t="s">
        <v>588</v>
      </c>
      <c r="I196" s="2" t="str">
        <f>VLOOKUP(Tabla3[[#This Row],[Deposito]],'SAPROV (2)'!D:E,2,FALSE)</f>
        <v>A01</v>
      </c>
      <c r="K196" s="2" t="s">
        <v>64</v>
      </c>
      <c r="L196" s="2" t="str">
        <f>VLOOKUP(Tabla3[[#This Row],[PROVEEDOR]],'SAPROV (2)'!A:B,2,FALSE)</f>
        <v>17</v>
      </c>
      <c r="M196" t="str">
        <f>VLOOKUP(Tabla3[[#This Row],[SERVICIO]],'SAPROV (2)'!I:J,2,FALSE)</f>
        <v>SERV0025</v>
      </c>
      <c r="N196" t="s">
        <v>756</v>
      </c>
      <c r="P196">
        <f>VLOOKUP(Tabla3[[#This Row],[FECHA]],TASA[],2,FALSE)</f>
        <v>321.02999999999997</v>
      </c>
      <c r="Q196" s="32">
        <f t="shared" si="16"/>
        <v>-0.97031430084415793</v>
      </c>
      <c r="R196" t="s">
        <v>95</v>
      </c>
    </row>
    <row r="197" spans="1:18" x14ac:dyDescent="0.25">
      <c r="A197" s="33">
        <v>46031</v>
      </c>
      <c r="B197" s="1">
        <v>576</v>
      </c>
      <c r="C197" s="2" t="s">
        <v>1194</v>
      </c>
      <c r="D197" s="34">
        <v>-6509</v>
      </c>
      <c r="E197" t="s">
        <v>20</v>
      </c>
      <c r="F197" s="2" t="e">
        <f>VLOOKUP(Tabla3[[#This Row],[CONTABLE]],'SAPROV (2)'!L:M,2,FALSE)</f>
        <v>#N/A</v>
      </c>
      <c r="H197" t="s">
        <v>1274</v>
      </c>
      <c r="I197" s="2" t="str">
        <f>VLOOKUP(Tabla3[[#This Row],[Deposito]],'SAPROV (2)'!D:E,2,FALSE)</f>
        <v>02</v>
      </c>
      <c r="K197" t="s">
        <v>54</v>
      </c>
      <c r="L197" s="23" t="str">
        <f>VLOOKUP(Tabla3[[#This Row],[PROVEEDOR]],'SAPROV (2)'!A:B,2,FALSE)</f>
        <v>12</v>
      </c>
      <c r="M197" t="str">
        <f>VLOOKUP(Tabla3[[#This Row],[SERVICIO]],'SAPROV (2)'!I:J,2,FALSE)</f>
        <v>SERV0038</v>
      </c>
      <c r="N197" t="s">
        <v>677</v>
      </c>
      <c r="P197">
        <f>VLOOKUP(Tabla3[[#This Row],[FECHA]],TASA[],2,FALSE)</f>
        <v>325.39</v>
      </c>
      <c r="Q197" s="32">
        <f t="shared" si="16"/>
        <v>-20.003687882233628</v>
      </c>
      <c r="R197" t="s">
        <v>95</v>
      </c>
    </row>
    <row r="198" spans="1:18" x14ac:dyDescent="0.25">
      <c r="A198" s="33">
        <v>46034</v>
      </c>
      <c r="B198" s="1">
        <v>599</v>
      </c>
      <c r="C198" s="2" t="s">
        <v>1195</v>
      </c>
      <c r="D198" s="34">
        <v>-6608</v>
      </c>
      <c r="E198" t="s">
        <v>20</v>
      </c>
      <c r="F198" s="2" t="e">
        <f>VLOOKUP(Tabla3[[#This Row],[CONTABLE]],'SAPROV (2)'!L:M,2,FALSE)</f>
        <v>#N/A</v>
      </c>
      <c r="H198" t="s">
        <v>1274</v>
      </c>
      <c r="I198" s="2" t="str">
        <f>VLOOKUP(Tabla3[[#This Row],[Deposito]],'SAPROV (2)'!D:E,2,FALSE)</f>
        <v>02</v>
      </c>
      <c r="K198" t="s">
        <v>54</v>
      </c>
      <c r="L198" s="23" t="str">
        <f>VLOOKUP(Tabla3[[#This Row],[PROVEEDOR]],'SAPROV (2)'!A:B,2,FALSE)</f>
        <v>12</v>
      </c>
      <c r="M198" t="str">
        <f>VLOOKUP(Tabla3[[#This Row],[SERVICIO]],'SAPROV (2)'!I:J,2,FALSE)</f>
        <v>SERV0038</v>
      </c>
      <c r="N198" t="s">
        <v>677</v>
      </c>
      <c r="P198">
        <f>VLOOKUP(Tabla3[[#This Row],[FECHA]],TASA[],2,FALSE)</f>
        <v>330.38</v>
      </c>
      <c r="Q198" s="32">
        <f t="shared" ref="Q198:Q211" si="17">D198/P198</f>
        <v>-20.001210727041588</v>
      </c>
      <c r="R198" t="s">
        <v>95</v>
      </c>
    </row>
    <row r="199" spans="1:18" x14ac:dyDescent="0.25">
      <c r="A199" s="33">
        <v>46034</v>
      </c>
      <c r="B199" s="1">
        <v>421</v>
      </c>
      <c r="C199" s="2" t="s">
        <v>1196</v>
      </c>
      <c r="D199" s="34">
        <v>-11388.3</v>
      </c>
      <c r="E199" t="s">
        <v>20</v>
      </c>
      <c r="F199" s="2" t="e">
        <f>VLOOKUP(Tabla3[[#This Row],[CONTABLE]],'SAPROV (2)'!L:M,2,FALSE)</f>
        <v>#N/A</v>
      </c>
      <c r="H199" t="s">
        <v>1281</v>
      </c>
      <c r="I199" s="2" t="str">
        <f>VLOOKUP(Tabla3[[#This Row],[Deposito]],'SAPROV (2)'!D:E,2,FALSE)</f>
        <v>07</v>
      </c>
      <c r="K199" t="s">
        <v>54</v>
      </c>
      <c r="L199" s="2" t="str">
        <f>VLOOKUP(Tabla3[[#This Row],[PROVEEDOR]],'SAPROV (2)'!A:B,2,FALSE)</f>
        <v>12</v>
      </c>
      <c r="M199" t="str">
        <f>VLOOKUP(Tabla3[[#This Row],[SERVICIO]],'SAPROV (2)'!I:J,2,FALSE)</f>
        <v>SERV0038</v>
      </c>
      <c r="N199" t="s">
        <v>677</v>
      </c>
      <c r="P199">
        <f>VLOOKUP(Tabla3[[#This Row],[FECHA]],TASA[],2,FALSE)</f>
        <v>330.38</v>
      </c>
      <c r="Q199" s="32">
        <f t="shared" si="17"/>
        <v>-34.470306919305038</v>
      </c>
      <c r="R199" t="s">
        <v>95</v>
      </c>
    </row>
    <row r="200" spans="1:18" x14ac:dyDescent="0.25">
      <c r="A200" s="33">
        <v>46034</v>
      </c>
      <c r="B200" s="1">
        <v>4069</v>
      </c>
      <c r="C200" s="2" t="s">
        <v>1197</v>
      </c>
      <c r="D200" s="34">
        <v>-1652</v>
      </c>
      <c r="E200" t="s">
        <v>20</v>
      </c>
      <c r="F200" s="2" t="e">
        <f>VLOOKUP(Tabla3[[#This Row],[CONTABLE]],'SAPROV (2)'!L:M,2,FALSE)</f>
        <v>#N/A</v>
      </c>
      <c r="H200" t="s">
        <v>1274</v>
      </c>
      <c r="I200" s="2" t="str">
        <f>VLOOKUP(Tabla3[[#This Row],[Deposito]],'SAPROV (2)'!D:E,2,FALSE)</f>
        <v>02</v>
      </c>
      <c r="K200" t="s">
        <v>54</v>
      </c>
      <c r="L200" s="23" t="str">
        <f>VLOOKUP(Tabla3[[#This Row],[PROVEEDOR]],'SAPROV (2)'!A:B,2,FALSE)</f>
        <v>12</v>
      </c>
      <c r="M200" t="str">
        <f>VLOOKUP(Tabla3[[#This Row],[SERVICIO]],'SAPROV (2)'!I:J,2,FALSE)</f>
        <v>SERV0038</v>
      </c>
      <c r="N200" t="s">
        <v>677</v>
      </c>
      <c r="P200">
        <f>VLOOKUP(Tabla3[[#This Row],[FECHA]],TASA[],2,FALSE)</f>
        <v>330.38</v>
      </c>
      <c r="Q200" s="32">
        <f t="shared" si="17"/>
        <v>-5.000302681760397</v>
      </c>
      <c r="R200" t="s">
        <v>95</v>
      </c>
    </row>
    <row r="201" spans="1:18" x14ac:dyDescent="0.25">
      <c r="A201" s="33">
        <v>46034</v>
      </c>
      <c r="B201" s="1">
        <v>3706</v>
      </c>
      <c r="C201" s="2" t="s">
        <v>1198</v>
      </c>
      <c r="D201" s="34">
        <v>-24090</v>
      </c>
      <c r="E201" t="s">
        <v>20</v>
      </c>
      <c r="F201" s="2" t="e">
        <f>VLOOKUP(Tabla3[[#This Row],[CONTABLE]],'SAPROV (2)'!L:M,2,FALSE)</f>
        <v>#N/A</v>
      </c>
      <c r="H201" t="s">
        <v>1274</v>
      </c>
      <c r="I201" s="2" t="str">
        <f>VLOOKUP(Tabla3[[#This Row],[Deposito]],'SAPROV (2)'!D:E,2,FALSE)</f>
        <v>02</v>
      </c>
      <c r="K201" t="s">
        <v>54</v>
      </c>
      <c r="L201" s="23" t="str">
        <f>VLOOKUP(Tabla3[[#This Row],[PROVEEDOR]],'SAPROV (2)'!A:B,2,FALSE)</f>
        <v>12</v>
      </c>
      <c r="M201" t="str">
        <f>VLOOKUP(Tabla3[[#This Row],[SERVICIO]],'SAPROV (2)'!I:J,2,FALSE)</f>
        <v>SERV0038</v>
      </c>
      <c r="N201" t="s">
        <v>677</v>
      </c>
      <c r="P201">
        <f>VLOOKUP(Tabla3[[#This Row],[FECHA]],TASA[],2,FALSE)</f>
        <v>330.38</v>
      </c>
      <c r="Q201" s="32">
        <f t="shared" si="17"/>
        <v>-72.916036079665844</v>
      </c>
      <c r="R201" t="s">
        <v>95</v>
      </c>
    </row>
    <row r="202" spans="1:18" x14ac:dyDescent="0.25">
      <c r="A202" s="33">
        <v>46034</v>
      </c>
      <c r="B202" s="1">
        <v>1961</v>
      </c>
      <c r="C202" s="2" t="s">
        <v>1199</v>
      </c>
      <c r="D202" s="34">
        <v>-16269</v>
      </c>
      <c r="E202" t="s">
        <v>20</v>
      </c>
      <c r="F202" s="2" t="e">
        <f>VLOOKUP(Tabla3[[#This Row],[CONTABLE]],'SAPROV (2)'!L:M,2,FALSE)</f>
        <v>#N/A</v>
      </c>
      <c r="H202" t="s">
        <v>1281</v>
      </c>
      <c r="I202" s="2" t="str">
        <f>VLOOKUP(Tabla3[[#This Row],[Deposito]],'SAPROV (2)'!D:E,2,FALSE)</f>
        <v>07</v>
      </c>
      <c r="K202" t="s">
        <v>54</v>
      </c>
      <c r="L202" s="2" t="str">
        <f>VLOOKUP(Tabla3[[#This Row],[PROVEEDOR]],'SAPROV (2)'!A:B,2,FALSE)</f>
        <v>12</v>
      </c>
      <c r="M202" t="str">
        <f>VLOOKUP(Tabla3[[#This Row],[SERVICIO]],'SAPROV (2)'!I:J,2,FALSE)</f>
        <v>SERV0038</v>
      </c>
      <c r="N202" t="s">
        <v>677</v>
      </c>
      <c r="P202">
        <f>VLOOKUP(Tabla3[[#This Row],[FECHA]],TASA[],2,FALSE)</f>
        <v>330.38</v>
      </c>
      <c r="Q202" s="32">
        <f t="shared" si="17"/>
        <v>-49.243295599007205</v>
      </c>
      <c r="R202" t="s">
        <v>95</v>
      </c>
    </row>
    <row r="203" spans="1:18" x14ac:dyDescent="0.25">
      <c r="A203" s="33">
        <v>46034</v>
      </c>
      <c r="B203" s="1">
        <v>4482</v>
      </c>
      <c r="C203" s="2" t="s">
        <v>1200</v>
      </c>
      <c r="D203" s="34">
        <v>-1626.9</v>
      </c>
      <c r="E203" t="s">
        <v>20</v>
      </c>
      <c r="F203" s="2" t="e">
        <f>VLOOKUP(Tabla3[[#This Row],[CONTABLE]],'SAPROV (2)'!L:M,2,FALSE)</f>
        <v>#N/A</v>
      </c>
      <c r="H203" t="s">
        <v>1281</v>
      </c>
      <c r="I203" s="2" t="str">
        <f>VLOOKUP(Tabla3[[#This Row],[Deposito]],'SAPROV (2)'!D:E,2,FALSE)</f>
        <v>07</v>
      </c>
      <c r="K203" t="s">
        <v>54</v>
      </c>
      <c r="L203" s="23" t="str">
        <f>VLOOKUP(Tabla3[[#This Row],[PROVEEDOR]],'SAPROV (2)'!A:B,2,FALSE)</f>
        <v>12</v>
      </c>
      <c r="M203" t="str">
        <f>VLOOKUP(Tabla3[[#This Row],[SERVICIO]],'SAPROV (2)'!I:J,2,FALSE)</f>
        <v>SERV0038</v>
      </c>
      <c r="N203" t="s">
        <v>677</v>
      </c>
      <c r="P203">
        <f>VLOOKUP(Tabla3[[#This Row],[FECHA]],TASA[],2,FALSE)</f>
        <v>330.38</v>
      </c>
      <c r="Q203" s="32">
        <f t="shared" si="17"/>
        <v>-4.9243295599007206</v>
      </c>
      <c r="R203" t="s">
        <v>95</v>
      </c>
    </row>
    <row r="204" spans="1:18" x14ac:dyDescent="0.25">
      <c r="A204" s="33">
        <v>46034</v>
      </c>
      <c r="B204" s="1">
        <v>1896</v>
      </c>
      <c r="C204" s="2" t="s">
        <v>1201</v>
      </c>
      <c r="D204" s="34">
        <v>-3139</v>
      </c>
      <c r="E204" t="s">
        <v>20</v>
      </c>
      <c r="F204" s="2" t="e">
        <f>VLOOKUP(Tabla3[[#This Row],[CONTABLE]],'SAPROV (2)'!L:M,2,FALSE)</f>
        <v>#N/A</v>
      </c>
      <c r="H204" t="s">
        <v>1274</v>
      </c>
      <c r="I204" s="2" t="str">
        <f>VLOOKUP(Tabla3[[#This Row],[Deposito]],'SAPROV (2)'!D:E,2,FALSE)</f>
        <v>02</v>
      </c>
      <c r="K204" t="s">
        <v>54</v>
      </c>
      <c r="L204" s="23" t="str">
        <f>VLOOKUP(Tabla3[[#This Row],[PROVEEDOR]],'SAPROV (2)'!A:B,2,FALSE)</f>
        <v>12</v>
      </c>
      <c r="M204" t="str">
        <f>VLOOKUP(Tabla3[[#This Row],[SERVICIO]],'SAPROV (2)'!I:J,2,FALSE)</f>
        <v>SERV0038</v>
      </c>
      <c r="N204" t="s">
        <v>677</v>
      </c>
      <c r="P204">
        <f>VLOOKUP(Tabla3[[#This Row],[FECHA]],TASA[],2,FALSE)</f>
        <v>330.38</v>
      </c>
      <c r="Q204" s="32">
        <f t="shared" si="17"/>
        <v>-9.5011804588655497</v>
      </c>
      <c r="R204" t="s">
        <v>95</v>
      </c>
    </row>
    <row r="205" spans="1:18" x14ac:dyDescent="0.25">
      <c r="A205" s="33">
        <v>46034</v>
      </c>
      <c r="B205" s="1">
        <v>5438</v>
      </c>
      <c r="C205" s="2" t="s">
        <v>1202</v>
      </c>
      <c r="D205" s="34">
        <v>-1322</v>
      </c>
      <c r="E205" t="s">
        <v>20</v>
      </c>
      <c r="F205" s="2" t="e">
        <f>VLOOKUP(Tabla3[[#This Row],[CONTABLE]],'SAPROV (2)'!L:M,2,FALSE)</f>
        <v>#N/A</v>
      </c>
      <c r="H205" t="s">
        <v>1274</v>
      </c>
      <c r="I205" s="2" t="str">
        <f>VLOOKUP(Tabla3[[#This Row],[Deposito]],'SAPROV (2)'!D:E,2,FALSE)</f>
        <v>02</v>
      </c>
      <c r="K205" t="s">
        <v>54</v>
      </c>
      <c r="L205" s="2" t="str">
        <f>VLOOKUP(Tabla3[[#This Row],[PROVEEDOR]],'SAPROV (2)'!A:B,2,FALSE)</f>
        <v>12</v>
      </c>
      <c r="M205" t="str">
        <f>VLOOKUP(Tabla3[[#This Row],[SERVICIO]],'SAPROV (2)'!I:J,2,FALSE)</f>
        <v>SERV0038</v>
      </c>
      <c r="N205" t="s">
        <v>677</v>
      </c>
      <c r="P205">
        <f>VLOOKUP(Tabla3[[#This Row],[FECHA]],TASA[],2,FALSE)</f>
        <v>330.38</v>
      </c>
      <c r="Q205" s="32">
        <f t="shared" si="17"/>
        <v>-4.0014528724499066</v>
      </c>
      <c r="R205" t="s">
        <v>95</v>
      </c>
    </row>
    <row r="206" spans="1:18" x14ac:dyDescent="0.25">
      <c r="A206" s="33">
        <v>46034</v>
      </c>
      <c r="B206" s="1">
        <v>6151</v>
      </c>
      <c r="C206" s="2" t="s">
        <v>1190</v>
      </c>
      <c r="D206" s="34">
        <v>-3304</v>
      </c>
      <c r="E206" t="s">
        <v>20</v>
      </c>
      <c r="F206" s="2" t="e">
        <f>VLOOKUP(Tabla3[[#This Row],[CONTABLE]],'SAPROV (2)'!L:M,2,FALSE)</f>
        <v>#N/A</v>
      </c>
      <c r="H206" t="s">
        <v>1281</v>
      </c>
      <c r="I206" s="2" t="str">
        <f>VLOOKUP(Tabla3[[#This Row],[Deposito]],'SAPROV (2)'!D:E,2,FALSE)</f>
        <v>07</v>
      </c>
      <c r="K206" t="s">
        <v>54</v>
      </c>
      <c r="L206" s="23" t="str">
        <f>VLOOKUP(Tabla3[[#This Row],[PROVEEDOR]],'SAPROV (2)'!A:B,2,FALSE)</f>
        <v>12</v>
      </c>
      <c r="M206" t="str">
        <f>VLOOKUP(Tabla3[[#This Row],[SERVICIO]],'SAPROV (2)'!I:J,2,FALSE)</f>
        <v>SERV0038</v>
      </c>
      <c r="N206" t="s">
        <v>677</v>
      </c>
      <c r="P206">
        <f>VLOOKUP(Tabla3[[#This Row],[FECHA]],TASA[],2,FALSE)</f>
        <v>330.38</v>
      </c>
      <c r="Q206" s="32">
        <f t="shared" si="17"/>
        <v>-10.000605363520794</v>
      </c>
      <c r="R206" t="s">
        <v>95</v>
      </c>
    </row>
    <row r="207" spans="1:18" x14ac:dyDescent="0.25">
      <c r="A207" s="33">
        <v>46034</v>
      </c>
      <c r="B207" s="1">
        <v>6560</v>
      </c>
      <c r="C207" s="2" t="s">
        <v>1203</v>
      </c>
      <c r="D207" s="34">
        <v>-4956</v>
      </c>
      <c r="E207" t="s">
        <v>20</v>
      </c>
      <c r="F207" s="2" t="e">
        <f>VLOOKUP(Tabla3[[#This Row],[CONTABLE]],'SAPROV (2)'!L:M,2,FALSE)</f>
        <v>#N/A</v>
      </c>
      <c r="H207" t="s">
        <v>1274</v>
      </c>
      <c r="I207" s="2" t="str">
        <f>VLOOKUP(Tabla3[[#This Row],[Deposito]],'SAPROV (2)'!D:E,2,FALSE)</f>
        <v>02</v>
      </c>
      <c r="K207" t="s">
        <v>54</v>
      </c>
      <c r="L207" s="23" t="str">
        <f>VLOOKUP(Tabla3[[#This Row],[PROVEEDOR]],'SAPROV (2)'!A:B,2,FALSE)</f>
        <v>12</v>
      </c>
      <c r="M207" t="str">
        <f>VLOOKUP(Tabla3[[#This Row],[SERVICIO]],'SAPROV (2)'!I:J,2,FALSE)</f>
        <v>SERV0038</v>
      </c>
      <c r="N207" t="s">
        <v>677</v>
      </c>
      <c r="P207">
        <f>VLOOKUP(Tabla3[[#This Row],[FECHA]],TASA[],2,FALSE)</f>
        <v>330.38</v>
      </c>
      <c r="Q207" s="32">
        <f t="shared" si="17"/>
        <v>-15.000908045281191</v>
      </c>
      <c r="R207" t="s">
        <v>95</v>
      </c>
    </row>
    <row r="208" spans="1:18" x14ac:dyDescent="0.25">
      <c r="A208" s="33">
        <v>46035</v>
      </c>
      <c r="B208" s="1">
        <v>4655</v>
      </c>
      <c r="C208" s="2" t="s">
        <v>1204</v>
      </c>
      <c r="D208" s="34">
        <v>-7434</v>
      </c>
      <c r="E208" t="s">
        <v>20</v>
      </c>
      <c r="F208" s="2" t="e">
        <f>VLOOKUP(Tabla3[[#This Row],[CONTABLE]],'SAPROV (2)'!L:M,2,FALSE)</f>
        <v>#N/A</v>
      </c>
      <c r="H208" t="s">
        <v>588</v>
      </c>
      <c r="I208" s="2" t="str">
        <f>VLOOKUP(Tabla3[[#This Row],[Deposito]],'SAPROV (2)'!D:E,2,FALSE)</f>
        <v>A01</v>
      </c>
      <c r="K208" t="s">
        <v>54</v>
      </c>
      <c r="L208" s="2" t="str">
        <f>VLOOKUP(Tabla3[[#This Row],[PROVEEDOR]],'SAPROV (2)'!A:B,2,FALSE)</f>
        <v>12</v>
      </c>
      <c r="M208" t="str">
        <f>VLOOKUP(Tabla3[[#This Row],[SERVICIO]],'SAPROV (2)'!I:J,2,FALSE)</f>
        <v>SERV0038</v>
      </c>
      <c r="N208" t="s">
        <v>677</v>
      </c>
      <c r="P208">
        <f>VLOOKUP(Tabla3[[#This Row],[FECHA]],TASA[],2,FALSE)</f>
        <v>330.38</v>
      </c>
      <c r="Q208" s="32">
        <f t="shared" si="17"/>
        <v>-22.501362067921786</v>
      </c>
      <c r="R208" t="s">
        <v>95</v>
      </c>
    </row>
    <row r="209" spans="1:18" x14ac:dyDescent="0.25">
      <c r="A209" s="33">
        <v>46035</v>
      </c>
      <c r="B209" s="1">
        <v>2571</v>
      </c>
      <c r="C209" s="2" t="s">
        <v>1205</v>
      </c>
      <c r="D209" s="34">
        <v>-1651.9</v>
      </c>
      <c r="E209" t="s">
        <v>20</v>
      </c>
      <c r="F209" s="2" t="e">
        <f>VLOOKUP(Tabla3[[#This Row],[CONTABLE]],'SAPROV (2)'!L:M,2,FALSE)</f>
        <v>#N/A</v>
      </c>
      <c r="H209" t="s">
        <v>1281</v>
      </c>
      <c r="I209" s="2" t="str">
        <f>VLOOKUP(Tabla3[[#This Row],[Deposito]],'SAPROV (2)'!D:E,2,FALSE)</f>
        <v>07</v>
      </c>
      <c r="K209" t="s">
        <v>54</v>
      </c>
      <c r="L209" s="23" t="str">
        <f>VLOOKUP(Tabla3[[#This Row],[PROVEEDOR]],'SAPROV (2)'!A:B,2,FALSE)</f>
        <v>12</v>
      </c>
      <c r="M209" t="str">
        <f>VLOOKUP(Tabla3[[#This Row],[SERVICIO]],'SAPROV (2)'!I:J,2,FALSE)</f>
        <v>SERV0038</v>
      </c>
      <c r="N209" t="s">
        <v>677</v>
      </c>
      <c r="P209">
        <f>VLOOKUP(Tabla3[[#This Row],[FECHA]],TASA[],2,FALSE)</f>
        <v>330.38</v>
      </c>
      <c r="Q209" s="32">
        <f t="shared" si="17"/>
        <v>-5</v>
      </c>
      <c r="R209" t="s">
        <v>95</v>
      </c>
    </row>
    <row r="210" spans="1:18" x14ac:dyDescent="0.25">
      <c r="A210" s="33">
        <v>46035</v>
      </c>
      <c r="B210" s="1">
        <v>6336</v>
      </c>
      <c r="C210" s="2" t="s">
        <v>1206</v>
      </c>
      <c r="D210" s="34">
        <v>-3000</v>
      </c>
      <c r="E210" t="s">
        <v>20</v>
      </c>
      <c r="F210" s="2" t="e">
        <f>VLOOKUP(Tabla3[[#This Row],[CONTABLE]],'SAPROV (2)'!L:M,2,FALSE)</f>
        <v>#N/A</v>
      </c>
      <c r="H210" t="s">
        <v>588</v>
      </c>
      <c r="I210" s="2" t="str">
        <f>VLOOKUP(Tabla3[[#This Row],[Deposito]],'SAPROV (2)'!D:E,2,FALSE)</f>
        <v>A01</v>
      </c>
      <c r="K210" s="2" t="s">
        <v>50</v>
      </c>
      <c r="L210" s="23" t="str">
        <f>VLOOKUP(Tabla3[[#This Row],[PROVEEDOR]],'SAPROV (2)'!A:B,2,FALSE)</f>
        <v>10</v>
      </c>
      <c r="M210" t="str">
        <f>VLOOKUP(Tabla3[[#This Row],[SERVICIO]],'SAPROV (2)'!I:J,2,FALSE)</f>
        <v>SERV0145</v>
      </c>
      <c r="N210" t="s">
        <v>932</v>
      </c>
      <c r="P210">
        <f>VLOOKUP(Tabla3[[#This Row],[FECHA]],TASA[],2,FALSE)</f>
        <v>330.38</v>
      </c>
      <c r="Q210" s="32">
        <f t="shared" si="17"/>
        <v>-9.0804528119135544</v>
      </c>
      <c r="R210" t="s">
        <v>95</v>
      </c>
    </row>
    <row r="211" spans="1:18" x14ac:dyDescent="0.25">
      <c r="A211" s="33">
        <v>46035</v>
      </c>
      <c r="B211" s="1">
        <v>2673</v>
      </c>
      <c r="C211" s="2" t="s">
        <v>1207</v>
      </c>
      <c r="D211" s="34">
        <v>-1982.28</v>
      </c>
      <c r="E211" t="s">
        <v>20</v>
      </c>
      <c r="F211" s="2" t="e">
        <f>VLOOKUP(Tabla3[[#This Row],[CONTABLE]],'SAPROV (2)'!L:M,2,FALSE)</f>
        <v>#N/A</v>
      </c>
      <c r="H211" t="s">
        <v>1281</v>
      </c>
      <c r="I211" s="2" t="str">
        <f>VLOOKUP(Tabla3[[#This Row],[Deposito]],'SAPROV (2)'!D:E,2,FALSE)</f>
        <v>07</v>
      </c>
      <c r="K211" t="s">
        <v>54</v>
      </c>
      <c r="L211" s="2" t="str">
        <f>VLOOKUP(Tabla3[[#This Row],[PROVEEDOR]],'SAPROV (2)'!A:B,2,FALSE)</f>
        <v>12</v>
      </c>
      <c r="M211" t="str">
        <f>VLOOKUP(Tabla3[[#This Row],[SERVICIO]],'SAPROV (2)'!I:J,2,FALSE)</f>
        <v>SERV0038</v>
      </c>
      <c r="N211" t="s">
        <v>677</v>
      </c>
      <c r="P211">
        <f>VLOOKUP(Tabla3[[#This Row],[FECHA]],TASA[],2,FALSE)</f>
        <v>330.38</v>
      </c>
      <c r="Q211" s="32">
        <f t="shared" si="17"/>
        <v>-6</v>
      </c>
      <c r="R211" t="s">
        <v>95</v>
      </c>
    </row>
    <row r="212" spans="1:18" x14ac:dyDescent="0.25">
      <c r="A212" s="33">
        <v>46035</v>
      </c>
      <c r="B212" s="1">
        <v>8711</v>
      </c>
      <c r="C212" s="2" t="s">
        <v>1208</v>
      </c>
      <c r="D212" s="34">
        <v>-4800</v>
      </c>
      <c r="E212" t="s">
        <v>20</v>
      </c>
      <c r="F212" s="2" t="e">
        <f>VLOOKUP(Tabla3[[#This Row],[CONTABLE]],'SAPROV (2)'!L:M,2,FALSE)</f>
        <v>#N/A</v>
      </c>
      <c r="H212" t="s">
        <v>588</v>
      </c>
      <c r="I212" s="2" t="str">
        <f>VLOOKUP(Tabla3[[#This Row],[Deposito]],'SAPROV (2)'!D:E,2,FALSE)</f>
        <v>A01</v>
      </c>
      <c r="K212" s="2" t="s">
        <v>56</v>
      </c>
      <c r="L212" s="23" t="str">
        <f>VLOOKUP(Tabla3[[#This Row],[PROVEEDOR]],'SAPROV (2)'!A:B,2,FALSE)</f>
        <v>13</v>
      </c>
      <c r="M212" t="str">
        <f>VLOOKUP(Tabla3[[#This Row],[SERVICIO]],'SAPROV (2)'!I:J,2,FALSE)</f>
        <v>SERV0073</v>
      </c>
      <c r="N212" t="s">
        <v>765</v>
      </c>
      <c r="P212">
        <f>VLOOKUP(Tabla3[[#This Row],[FECHA]],TASA[],2,FALSE)</f>
        <v>330.38</v>
      </c>
      <c r="Q212" s="32">
        <f t="shared" ref="Q212:Q219" si="18">D212/P212</f>
        <v>-14.528724499061687</v>
      </c>
      <c r="R212" t="s">
        <v>95</v>
      </c>
    </row>
    <row r="213" spans="1:18" x14ac:dyDescent="0.25">
      <c r="A213" s="33">
        <v>46036</v>
      </c>
      <c r="B213" s="1">
        <v>9464</v>
      </c>
      <c r="C213" s="2" t="s">
        <v>1209</v>
      </c>
      <c r="D213" s="34">
        <v>-1682.3</v>
      </c>
      <c r="E213" t="s">
        <v>20</v>
      </c>
      <c r="F213" s="2" t="e">
        <f>VLOOKUP(Tabla3[[#This Row],[CONTABLE]],'SAPROV (2)'!L:M,2,FALSE)</f>
        <v>#N/A</v>
      </c>
      <c r="H213" t="s">
        <v>1281</v>
      </c>
      <c r="I213" s="2" t="str">
        <f>VLOOKUP(Tabla3[[#This Row],[Deposito]],'SAPROV (2)'!D:E,2,FALSE)</f>
        <v>07</v>
      </c>
      <c r="K213" t="s">
        <v>54</v>
      </c>
      <c r="L213" s="23" t="str">
        <f>VLOOKUP(Tabla3[[#This Row],[PROVEEDOR]],'SAPROV (2)'!A:B,2,FALSE)</f>
        <v>12</v>
      </c>
      <c r="M213" t="str">
        <f>VLOOKUP(Tabla3[[#This Row],[SERVICIO]],'SAPROV (2)'!I:J,2,FALSE)</f>
        <v>SERV0038</v>
      </c>
      <c r="N213" t="s">
        <v>677</v>
      </c>
      <c r="P213">
        <f>VLOOKUP(Tabla3[[#This Row],[FECHA]],TASA[],2,FALSE)</f>
        <v>336.46</v>
      </c>
      <c r="Q213" s="32">
        <f t="shared" si="18"/>
        <v>-5</v>
      </c>
      <c r="R213" t="s">
        <v>95</v>
      </c>
    </row>
    <row r="214" spans="1:18" x14ac:dyDescent="0.25">
      <c r="A214" s="33">
        <v>46036</v>
      </c>
      <c r="B214" s="1">
        <v>8831</v>
      </c>
      <c r="C214" s="2" t="s">
        <v>1195</v>
      </c>
      <c r="D214" s="34">
        <v>-6730</v>
      </c>
      <c r="E214" t="s">
        <v>20</v>
      </c>
      <c r="F214" s="2" t="e">
        <f>VLOOKUP(Tabla3[[#This Row],[CONTABLE]],'SAPROV (2)'!L:M,2,FALSE)</f>
        <v>#N/A</v>
      </c>
      <c r="H214" t="s">
        <v>1274</v>
      </c>
      <c r="I214" s="2" t="str">
        <f>VLOOKUP(Tabla3[[#This Row],[Deposito]],'SAPROV (2)'!D:E,2,FALSE)</f>
        <v>02</v>
      </c>
      <c r="K214" t="s">
        <v>54</v>
      </c>
      <c r="L214" s="2" t="str">
        <f>VLOOKUP(Tabla3[[#This Row],[PROVEEDOR]],'SAPROV (2)'!A:B,2,FALSE)</f>
        <v>12</v>
      </c>
      <c r="M214" t="str">
        <f>VLOOKUP(Tabla3[[#This Row],[SERVICIO]],'SAPROV (2)'!I:J,2,FALSE)</f>
        <v>SERV0038</v>
      </c>
      <c r="N214" t="s">
        <v>677</v>
      </c>
      <c r="P214">
        <f>VLOOKUP(Tabla3[[#This Row],[FECHA]],TASA[],2,FALSE)</f>
        <v>336.46</v>
      </c>
      <c r="Q214" s="32">
        <f t="shared" si="18"/>
        <v>-20.002377697200263</v>
      </c>
      <c r="R214" t="s">
        <v>95</v>
      </c>
    </row>
    <row r="215" spans="1:18" x14ac:dyDescent="0.25">
      <c r="A215" s="33">
        <v>46037</v>
      </c>
      <c r="B215" s="1">
        <v>3320</v>
      </c>
      <c r="C215" s="2" t="s">
        <v>1210</v>
      </c>
      <c r="D215" s="34">
        <v>-18991.84</v>
      </c>
      <c r="E215" t="s">
        <v>20</v>
      </c>
      <c r="F215" s="2" t="e">
        <f>VLOOKUP(Tabla3[[#This Row],[CONTABLE]],'SAPROV (2)'!L:M,2,FALSE)</f>
        <v>#N/A</v>
      </c>
      <c r="H215" t="s">
        <v>1281</v>
      </c>
      <c r="I215" s="2" t="str">
        <f>VLOOKUP(Tabla3[[#This Row],[Deposito]],'SAPROV (2)'!D:E,2,FALSE)</f>
        <v>07</v>
      </c>
      <c r="K215" t="s">
        <v>54</v>
      </c>
      <c r="L215" s="23" t="str">
        <f>VLOOKUP(Tabla3[[#This Row],[PROVEEDOR]],'SAPROV (2)'!A:B,2,FALSE)</f>
        <v>12</v>
      </c>
      <c r="M215" t="str">
        <f>VLOOKUP(Tabla3[[#This Row],[SERVICIO]],'SAPROV (2)'!I:J,2,FALSE)</f>
        <v>SERV0038</v>
      </c>
      <c r="N215" t="s">
        <v>677</v>
      </c>
      <c r="P215">
        <f>VLOOKUP(Tabla3[[#This Row],[FECHA]],TASA[],2,FALSE)</f>
        <v>339.15</v>
      </c>
      <c r="Q215" s="32">
        <f t="shared" si="18"/>
        <v>-55.998348813209496</v>
      </c>
      <c r="R215" t="s">
        <v>95</v>
      </c>
    </row>
    <row r="216" spans="1:18" x14ac:dyDescent="0.25">
      <c r="A216" s="33">
        <v>46037</v>
      </c>
      <c r="C216" s="2" t="s">
        <v>1211</v>
      </c>
      <c r="D216" s="34">
        <v>-4750</v>
      </c>
      <c r="E216" t="s">
        <v>20</v>
      </c>
      <c r="F216" s="2" t="e">
        <f>VLOOKUP(Tabla3[[#This Row],[CONTABLE]],'SAPROV (2)'!L:M,2,FALSE)</f>
        <v>#N/A</v>
      </c>
      <c r="H216" t="s">
        <v>1281</v>
      </c>
      <c r="I216" s="2" t="str">
        <f>VLOOKUP(Tabla3[[#This Row],[Deposito]],'SAPROV (2)'!D:E,2,FALSE)</f>
        <v>07</v>
      </c>
      <c r="K216" t="s">
        <v>54</v>
      </c>
      <c r="L216" s="23" t="str">
        <f>VLOOKUP(Tabla3[[#This Row],[PROVEEDOR]],'SAPROV (2)'!A:B,2,FALSE)</f>
        <v>12</v>
      </c>
      <c r="M216" t="str">
        <f>VLOOKUP(Tabla3[[#This Row],[SERVICIO]],'SAPROV (2)'!I:J,2,FALSE)</f>
        <v>SERV0038</v>
      </c>
      <c r="N216" t="s">
        <v>677</v>
      </c>
      <c r="P216">
        <f>VLOOKUP(Tabla3[[#This Row],[FECHA]],TASA[],2,FALSE)</f>
        <v>339.15</v>
      </c>
      <c r="Q216" s="32">
        <f t="shared" si="18"/>
        <v>-14.00560224089636</v>
      </c>
      <c r="R216" t="s">
        <v>95</v>
      </c>
    </row>
    <row r="217" spans="1:18" x14ac:dyDescent="0.25">
      <c r="A217" s="33">
        <v>46037</v>
      </c>
      <c r="B217" s="1">
        <v>3060</v>
      </c>
      <c r="C217" s="2" t="s">
        <v>1212</v>
      </c>
      <c r="D217" s="34">
        <v>-6613.23</v>
      </c>
      <c r="E217" t="s">
        <v>20</v>
      </c>
      <c r="F217" s="2" t="e">
        <f>VLOOKUP(Tabla3[[#This Row],[CONTABLE]],'SAPROV (2)'!L:M,2,FALSE)</f>
        <v>#N/A</v>
      </c>
      <c r="H217" t="s">
        <v>1281</v>
      </c>
      <c r="I217" s="2" t="str">
        <f>VLOOKUP(Tabla3[[#This Row],[Deposito]],'SAPROV (2)'!D:E,2,FALSE)</f>
        <v>07</v>
      </c>
      <c r="K217" t="s">
        <v>54</v>
      </c>
      <c r="L217" s="2" t="str">
        <f>VLOOKUP(Tabla3[[#This Row],[PROVEEDOR]],'SAPROV (2)'!A:B,2,FALSE)</f>
        <v>12</v>
      </c>
      <c r="M217" t="str">
        <f>VLOOKUP(Tabla3[[#This Row],[SERVICIO]],'SAPROV (2)'!I:J,2,FALSE)</f>
        <v>SERV0038</v>
      </c>
      <c r="N217" t="s">
        <v>677</v>
      </c>
      <c r="P217">
        <f>VLOOKUP(Tabla3[[#This Row],[FECHA]],TASA[],2,FALSE)</f>
        <v>339.15</v>
      </c>
      <c r="Q217" s="32">
        <f t="shared" si="18"/>
        <v>-19.499425033171164</v>
      </c>
      <c r="R217" t="s">
        <v>95</v>
      </c>
    </row>
    <row r="218" spans="1:18" x14ac:dyDescent="0.25">
      <c r="A218" s="33">
        <v>46037</v>
      </c>
      <c r="B218" s="1">
        <v>4777</v>
      </c>
      <c r="C218" s="2" t="s">
        <v>1213</v>
      </c>
      <c r="D218" s="34">
        <v>-10425</v>
      </c>
      <c r="E218" t="s">
        <v>20</v>
      </c>
      <c r="F218" s="2" t="e">
        <f>VLOOKUP(Tabla3[[#This Row],[CONTABLE]],'SAPROV (2)'!L:M,2,FALSE)</f>
        <v>#N/A</v>
      </c>
      <c r="H218" t="s">
        <v>1274</v>
      </c>
      <c r="I218" s="2" t="str">
        <f>VLOOKUP(Tabla3[[#This Row],[Deposito]],'SAPROV (2)'!D:E,2,FALSE)</f>
        <v>02</v>
      </c>
      <c r="K218" t="s">
        <v>54</v>
      </c>
      <c r="L218" s="23" t="str">
        <f>VLOOKUP(Tabla3[[#This Row],[PROVEEDOR]],'SAPROV (2)'!A:B,2,FALSE)</f>
        <v>12</v>
      </c>
      <c r="M218" t="str">
        <f>VLOOKUP(Tabla3[[#This Row],[SERVICIO]],'SAPROV (2)'!I:J,2,FALSE)</f>
        <v>SERV0038</v>
      </c>
      <c r="N218" t="s">
        <v>677</v>
      </c>
      <c r="P218">
        <f>VLOOKUP(Tabla3[[#This Row],[FECHA]],TASA[],2,FALSE)</f>
        <v>339.15</v>
      </c>
      <c r="Q218" s="32">
        <f t="shared" si="18"/>
        <v>-30.738611233967273</v>
      </c>
      <c r="R218" t="s">
        <v>95</v>
      </c>
    </row>
    <row r="219" spans="1:18" x14ac:dyDescent="0.25">
      <c r="A219" s="33">
        <v>46037</v>
      </c>
      <c r="B219" s="1">
        <v>9724</v>
      </c>
      <c r="C219" s="2" t="s">
        <v>1214</v>
      </c>
      <c r="D219" s="34">
        <v>-1271.78</v>
      </c>
      <c r="E219" t="s">
        <v>20</v>
      </c>
      <c r="F219" s="2" t="e">
        <f>VLOOKUP(Tabla3[[#This Row],[CONTABLE]],'SAPROV (2)'!L:M,2,FALSE)</f>
        <v>#N/A</v>
      </c>
      <c r="H219" t="s">
        <v>1274</v>
      </c>
      <c r="I219" s="2" t="str">
        <f>VLOOKUP(Tabla3[[#This Row],[Deposito]],'SAPROV (2)'!D:E,2,FALSE)</f>
        <v>02</v>
      </c>
      <c r="K219" t="s">
        <v>54</v>
      </c>
      <c r="L219" s="23" t="str">
        <f>VLOOKUP(Tabla3[[#This Row],[PROVEEDOR]],'SAPROV (2)'!A:B,2,FALSE)</f>
        <v>12</v>
      </c>
      <c r="M219" t="str">
        <f>VLOOKUP(Tabla3[[#This Row],[SERVICIO]],'SAPROV (2)'!I:J,2,FALSE)</f>
        <v>SERV0038</v>
      </c>
      <c r="N219" t="s">
        <v>677</v>
      </c>
      <c r="P219">
        <f>VLOOKUP(Tabla3[[#This Row],[FECHA]],TASA[],2,FALSE)</f>
        <v>339.15</v>
      </c>
      <c r="Q219" s="32">
        <f t="shared" si="18"/>
        <v>-3.749904172195194</v>
      </c>
      <c r="R219" t="s">
        <v>95</v>
      </c>
    </row>
    <row r="220" spans="1:18" x14ac:dyDescent="0.25">
      <c r="A220" s="33">
        <v>46038</v>
      </c>
      <c r="B220" s="1">
        <v>1414</v>
      </c>
      <c r="C220" s="2" t="s">
        <v>1215</v>
      </c>
      <c r="D220" s="34">
        <v>-5126.1000000000004</v>
      </c>
      <c r="E220" t="s">
        <v>20</v>
      </c>
      <c r="F220" s="2" t="e">
        <f>VLOOKUP(Tabla3[[#This Row],[CONTABLE]],'SAPROV (2)'!L:M,2,FALSE)</f>
        <v>#N/A</v>
      </c>
      <c r="H220" t="s">
        <v>588</v>
      </c>
      <c r="I220" s="2" t="str">
        <f>VLOOKUP(Tabla3[[#This Row],[Deposito]],'SAPROV (2)'!D:E,2,FALSE)</f>
        <v>A01</v>
      </c>
      <c r="K220" t="s">
        <v>56</v>
      </c>
      <c r="L220" s="2" t="str">
        <f>VLOOKUP(Tabla3[[#This Row],[PROVEEDOR]],'SAPROV (2)'!A:B,2,FALSE)</f>
        <v>13</v>
      </c>
      <c r="M220" t="str">
        <f>VLOOKUP(Tabla3[[#This Row],[SERVICIO]],'SAPROV (2)'!I:J,2,FALSE)</f>
        <v>SERV0033</v>
      </c>
      <c r="N220" t="s">
        <v>729</v>
      </c>
      <c r="P220">
        <f>VLOOKUP(Tabla3[[#This Row],[FECHA]],TASA[],2,FALSE)</f>
        <v>341.74</v>
      </c>
      <c r="Q220" s="32">
        <f t="shared" ref="Q220:Q227" si="19">D220/P220</f>
        <v>-15</v>
      </c>
      <c r="R220" t="s">
        <v>95</v>
      </c>
    </row>
    <row r="221" spans="1:18" x14ac:dyDescent="0.25">
      <c r="A221" s="33">
        <v>46038</v>
      </c>
      <c r="B221" s="1">
        <v>3512</v>
      </c>
      <c r="C221" s="2" t="s">
        <v>1189</v>
      </c>
      <c r="D221" s="34">
        <v>-17087</v>
      </c>
      <c r="E221" t="s">
        <v>20</v>
      </c>
      <c r="F221" s="2" t="e">
        <f>VLOOKUP(Tabla3[[#This Row],[CONTABLE]],'SAPROV (2)'!L:M,2,FALSE)</f>
        <v>#N/A</v>
      </c>
      <c r="H221" t="s">
        <v>1281</v>
      </c>
      <c r="I221" s="2" t="str">
        <f>VLOOKUP(Tabla3[[#This Row],[Deposito]],'SAPROV (2)'!D:E,2,FALSE)</f>
        <v>07</v>
      </c>
      <c r="K221" t="s">
        <v>54</v>
      </c>
      <c r="L221" s="23" t="str">
        <f>VLOOKUP(Tabla3[[#This Row],[PROVEEDOR]],'SAPROV (2)'!A:B,2,FALSE)</f>
        <v>12</v>
      </c>
      <c r="M221" t="str">
        <f>VLOOKUP(Tabla3[[#This Row],[SERVICIO]],'SAPROV (2)'!I:J,2,FALSE)</f>
        <v>SERV0038</v>
      </c>
      <c r="N221" t="s">
        <v>677</v>
      </c>
      <c r="P221">
        <f>VLOOKUP(Tabla3[[#This Row],[FECHA]],TASA[],2,FALSE)</f>
        <v>341.74</v>
      </c>
      <c r="Q221" s="32">
        <f t="shared" si="19"/>
        <v>-50</v>
      </c>
      <c r="R221" t="s">
        <v>95</v>
      </c>
    </row>
    <row r="222" spans="1:18" x14ac:dyDescent="0.25">
      <c r="A222" s="33">
        <v>46038</v>
      </c>
      <c r="B222" s="1">
        <v>4021</v>
      </c>
      <c r="C222" s="2" t="s">
        <v>1216</v>
      </c>
      <c r="D222" s="34">
        <v>-7176.54</v>
      </c>
      <c r="E222" t="s">
        <v>20</v>
      </c>
      <c r="F222" s="2" t="e">
        <f>VLOOKUP(Tabla3[[#This Row],[CONTABLE]],'SAPROV (2)'!L:M,2,FALSE)</f>
        <v>#N/A</v>
      </c>
      <c r="H222" t="s">
        <v>1281</v>
      </c>
      <c r="I222" s="2" t="str">
        <f>VLOOKUP(Tabla3[[#This Row],[Deposito]],'SAPROV (2)'!D:E,2,FALSE)</f>
        <v>07</v>
      </c>
      <c r="K222" t="s">
        <v>54</v>
      </c>
      <c r="L222" s="23" t="str">
        <f>VLOOKUP(Tabla3[[#This Row],[PROVEEDOR]],'SAPROV (2)'!A:B,2,FALSE)</f>
        <v>12</v>
      </c>
      <c r="M222" t="str">
        <f>VLOOKUP(Tabla3[[#This Row],[SERVICIO]],'SAPROV (2)'!I:J,2,FALSE)</f>
        <v>SERV0038</v>
      </c>
      <c r="N222" t="s">
        <v>677</v>
      </c>
      <c r="P222">
        <f>VLOOKUP(Tabla3[[#This Row],[FECHA]],TASA[],2,FALSE)</f>
        <v>341.74</v>
      </c>
      <c r="Q222" s="32">
        <f t="shared" si="19"/>
        <v>-21</v>
      </c>
      <c r="R222" t="s">
        <v>95</v>
      </c>
    </row>
    <row r="223" spans="1:18" x14ac:dyDescent="0.25">
      <c r="A223" s="33">
        <v>46038</v>
      </c>
      <c r="C223" s="2" t="s">
        <v>1217</v>
      </c>
      <c r="D223" s="34">
        <v>-3418</v>
      </c>
      <c r="E223" t="s">
        <v>20</v>
      </c>
      <c r="F223" s="2" t="e">
        <f>VLOOKUP(Tabla3[[#This Row],[CONTABLE]],'SAPROV (2)'!L:M,2,FALSE)</f>
        <v>#N/A</v>
      </c>
      <c r="H223" t="s">
        <v>1281</v>
      </c>
      <c r="I223" s="2" t="str">
        <f>VLOOKUP(Tabla3[[#This Row],[Deposito]],'SAPROV (2)'!D:E,2,FALSE)</f>
        <v>07</v>
      </c>
      <c r="K223" t="s">
        <v>54</v>
      </c>
      <c r="L223" s="2" t="str">
        <f>VLOOKUP(Tabla3[[#This Row],[PROVEEDOR]],'SAPROV (2)'!A:B,2,FALSE)</f>
        <v>12</v>
      </c>
      <c r="M223" t="str">
        <f>VLOOKUP(Tabla3[[#This Row],[SERVICIO]],'SAPROV (2)'!I:J,2,FALSE)</f>
        <v>SERV0038</v>
      </c>
      <c r="N223" t="s">
        <v>677</v>
      </c>
      <c r="P223">
        <f>VLOOKUP(Tabla3[[#This Row],[FECHA]],TASA[],2,FALSE)</f>
        <v>341.74</v>
      </c>
      <c r="Q223" s="32">
        <f t="shared" si="19"/>
        <v>-10.001755720723356</v>
      </c>
      <c r="R223" t="s">
        <v>95</v>
      </c>
    </row>
    <row r="224" spans="1:18" x14ac:dyDescent="0.25">
      <c r="A224" s="33">
        <v>46038</v>
      </c>
      <c r="B224" s="1">
        <v>3488</v>
      </c>
      <c r="C224" s="2" t="s">
        <v>1218</v>
      </c>
      <c r="D224" s="34">
        <v>-9397.85</v>
      </c>
      <c r="E224" t="s">
        <v>20</v>
      </c>
      <c r="F224" s="2" t="e">
        <f>VLOOKUP(Tabla3[[#This Row],[CONTABLE]],'SAPROV (2)'!L:M,2,FALSE)</f>
        <v>#N/A</v>
      </c>
      <c r="H224" t="s">
        <v>588</v>
      </c>
      <c r="I224" s="2" t="str">
        <f>VLOOKUP(Tabla3[[#This Row],[Deposito]],'SAPROV (2)'!D:E,2,FALSE)</f>
        <v>A01</v>
      </c>
      <c r="K224" t="s">
        <v>54</v>
      </c>
      <c r="L224" s="23" t="str">
        <f>VLOOKUP(Tabla3[[#This Row],[PROVEEDOR]],'SAPROV (2)'!A:B,2,FALSE)</f>
        <v>12</v>
      </c>
      <c r="M224" t="str">
        <f>VLOOKUP(Tabla3[[#This Row],[SERVICIO]],'SAPROV (2)'!I:J,2,FALSE)</f>
        <v>SERV0038</v>
      </c>
      <c r="N224" t="s">
        <v>677</v>
      </c>
      <c r="P224">
        <f>VLOOKUP(Tabla3[[#This Row],[FECHA]],TASA[],2,FALSE)</f>
        <v>341.74</v>
      </c>
      <c r="Q224" s="32">
        <f t="shared" si="19"/>
        <v>-27.5</v>
      </c>
      <c r="R224" t="s">
        <v>95</v>
      </c>
    </row>
    <row r="225" spans="1:18" x14ac:dyDescent="0.25">
      <c r="A225" s="33">
        <v>46038</v>
      </c>
      <c r="B225" s="1" t="s">
        <v>1171</v>
      </c>
      <c r="C225" s="2" t="s">
        <v>1219</v>
      </c>
      <c r="D225" s="34">
        <v>-10003.950000000001</v>
      </c>
      <c r="E225" t="s">
        <v>20</v>
      </c>
      <c r="F225" s="2" t="e">
        <f>VLOOKUP(Tabla3[[#This Row],[CONTABLE]],'SAPROV (2)'!L:M,2,FALSE)</f>
        <v>#N/A</v>
      </c>
      <c r="H225" t="s">
        <v>588</v>
      </c>
      <c r="I225" s="2" t="str">
        <f>VLOOKUP(Tabla3[[#This Row],[Deposito]],'SAPROV (2)'!D:E,2,FALSE)</f>
        <v>A01</v>
      </c>
      <c r="K225" t="s">
        <v>64</v>
      </c>
      <c r="L225" s="23" t="str">
        <f>VLOOKUP(Tabla3[[#This Row],[PROVEEDOR]],'SAPROV (2)'!A:B,2,FALSE)</f>
        <v>17</v>
      </c>
      <c r="M225" t="str">
        <f>VLOOKUP(Tabla3[[#This Row],[SERVICIO]],'SAPROV (2)'!I:J,2,FALSE)</f>
        <v>SERV0028</v>
      </c>
      <c r="N225" t="s">
        <v>887</v>
      </c>
      <c r="P225">
        <f>VLOOKUP(Tabla3[[#This Row],[FECHA]],TASA[],2,FALSE)</f>
        <v>341.74</v>
      </c>
      <c r="Q225" s="32">
        <f t="shared" si="19"/>
        <v>-29.273570550711067</v>
      </c>
      <c r="R225" t="s">
        <v>95</v>
      </c>
    </row>
    <row r="226" spans="1:18" x14ac:dyDescent="0.25">
      <c r="A226" s="33">
        <v>46038</v>
      </c>
      <c r="B226" s="1">
        <v>6829</v>
      </c>
      <c r="C226" s="2" t="s">
        <v>1220</v>
      </c>
      <c r="D226" s="34">
        <v>-3417.4</v>
      </c>
      <c r="E226" t="s">
        <v>20</v>
      </c>
      <c r="F226" s="2" t="e">
        <f>VLOOKUP(Tabla3[[#This Row],[CONTABLE]],'SAPROV (2)'!L:M,2,FALSE)</f>
        <v>#N/A</v>
      </c>
      <c r="H226" t="s">
        <v>1274</v>
      </c>
      <c r="I226" s="2" t="str">
        <f>VLOOKUP(Tabla3[[#This Row],[Deposito]],'SAPROV (2)'!D:E,2,FALSE)</f>
        <v>02</v>
      </c>
      <c r="K226" t="s">
        <v>54</v>
      </c>
      <c r="L226" s="2" t="str">
        <f>VLOOKUP(Tabla3[[#This Row],[PROVEEDOR]],'SAPROV (2)'!A:B,2,FALSE)</f>
        <v>12</v>
      </c>
      <c r="M226" t="str">
        <f>VLOOKUP(Tabla3[[#This Row],[SERVICIO]],'SAPROV (2)'!I:J,2,FALSE)</f>
        <v>SERV0038</v>
      </c>
      <c r="N226" t="s">
        <v>677</v>
      </c>
      <c r="P226">
        <f>VLOOKUP(Tabla3[[#This Row],[FECHA]],TASA[],2,FALSE)</f>
        <v>341.74</v>
      </c>
      <c r="Q226" s="32">
        <f t="shared" si="19"/>
        <v>-10</v>
      </c>
      <c r="R226" t="s">
        <v>95</v>
      </c>
    </row>
    <row r="227" spans="1:18" x14ac:dyDescent="0.25">
      <c r="A227" s="33">
        <v>46038</v>
      </c>
      <c r="B227" s="1">
        <v>8510</v>
      </c>
      <c r="C227" s="2" t="s">
        <v>1200</v>
      </c>
      <c r="D227" s="34">
        <v>-1708.7</v>
      </c>
      <c r="E227" t="s">
        <v>20</v>
      </c>
      <c r="F227" s="2" t="e">
        <f>VLOOKUP(Tabla3[[#This Row],[CONTABLE]],'SAPROV (2)'!L:M,2,FALSE)</f>
        <v>#N/A</v>
      </c>
      <c r="H227" t="s">
        <v>1281</v>
      </c>
      <c r="I227" s="2" t="str">
        <f>VLOOKUP(Tabla3[[#This Row],[Deposito]],'SAPROV (2)'!D:E,2,FALSE)</f>
        <v>07</v>
      </c>
      <c r="K227" t="s">
        <v>54</v>
      </c>
      <c r="L227" s="23" t="str">
        <f>VLOOKUP(Tabla3[[#This Row],[PROVEEDOR]],'SAPROV (2)'!A:B,2,FALSE)</f>
        <v>12</v>
      </c>
      <c r="M227" t="str">
        <f>VLOOKUP(Tabla3[[#This Row],[SERVICIO]],'SAPROV (2)'!I:J,2,FALSE)</f>
        <v>SERV0038</v>
      </c>
      <c r="N227" t="s">
        <v>677</v>
      </c>
      <c r="P227">
        <f>VLOOKUP(Tabla3[[#This Row],[FECHA]],TASA[],2,FALSE)</f>
        <v>341.74</v>
      </c>
      <c r="Q227" s="32">
        <f t="shared" si="19"/>
        <v>-5</v>
      </c>
      <c r="R227" t="s">
        <v>95</v>
      </c>
    </row>
    <row r="228" spans="1:18" x14ac:dyDescent="0.25">
      <c r="A228" s="33">
        <v>46038</v>
      </c>
      <c r="B228" s="1">
        <v>7234</v>
      </c>
      <c r="C228" s="2" t="s">
        <v>1221</v>
      </c>
      <c r="D228" s="34">
        <v>-7690</v>
      </c>
      <c r="E228" t="s">
        <v>20</v>
      </c>
      <c r="F228" s="2" t="e">
        <f>VLOOKUP(Tabla3[[#This Row],[CONTABLE]],'SAPROV (2)'!L:M,2,FALSE)</f>
        <v>#N/A</v>
      </c>
      <c r="H228" t="s">
        <v>1280</v>
      </c>
      <c r="I228" s="2" t="str">
        <f>VLOOKUP(Tabla3[[#This Row],[Deposito]],'SAPROV (2)'!D:E,2,FALSE)</f>
        <v>01</v>
      </c>
      <c r="K228" t="s">
        <v>54</v>
      </c>
      <c r="L228" s="23" t="str">
        <f>VLOOKUP(Tabla3[[#This Row],[PROVEEDOR]],'SAPROV (2)'!A:B,2,FALSE)</f>
        <v>12</v>
      </c>
      <c r="M228" t="str">
        <f>VLOOKUP(Tabla3[[#This Row],[SERVICIO]],'SAPROV (2)'!I:J,2,FALSE)</f>
        <v>SERV0038</v>
      </c>
      <c r="N228" t="s">
        <v>677</v>
      </c>
      <c r="P228">
        <f>VLOOKUP(Tabla3[[#This Row],[FECHA]],TASA[],2,FALSE)</f>
        <v>341.74</v>
      </c>
      <c r="Q228" s="32">
        <f t="shared" ref="Q228:Q229" si="20">D228/P228</f>
        <v>-22.502487271024755</v>
      </c>
      <c r="R228" t="s">
        <v>95</v>
      </c>
    </row>
    <row r="229" spans="1:18" x14ac:dyDescent="0.25">
      <c r="A229" s="33">
        <v>46038</v>
      </c>
      <c r="B229" s="1">
        <v>3898</v>
      </c>
      <c r="C229" s="2" t="s">
        <v>1220</v>
      </c>
      <c r="D229" s="34">
        <v>-3417.4</v>
      </c>
      <c r="E229" t="s">
        <v>20</v>
      </c>
      <c r="F229" s="2" t="e">
        <f>VLOOKUP(Tabla3[[#This Row],[CONTABLE]],'SAPROV (2)'!L:M,2,FALSE)</f>
        <v>#N/A</v>
      </c>
      <c r="H229" t="s">
        <v>1274</v>
      </c>
      <c r="I229" s="2" t="str">
        <f>VLOOKUP(Tabla3[[#This Row],[Deposito]],'SAPROV (2)'!D:E,2,FALSE)</f>
        <v>02</v>
      </c>
      <c r="K229" t="s">
        <v>54</v>
      </c>
      <c r="L229" s="2" t="str">
        <f>VLOOKUP(Tabla3[[#This Row],[PROVEEDOR]],'SAPROV (2)'!A:B,2,FALSE)</f>
        <v>12</v>
      </c>
      <c r="M229" t="str">
        <f>VLOOKUP(Tabla3[[#This Row],[SERVICIO]],'SAPROV (2)'!I:J,2,FALSE)</f>
        <v>SERV0038</v>
      </c>
      <c r="N229" t="s">
        <v>677</v>
      </c>
      <c r="P229">
        <f>VLOOKUP(Tabla3[[#This Row],[FECHA]],TASA[],2,FALSE)</f>
        <v>341.74</v>
      </c>
      <c r="Q229" s="32">
        <f t="shared" si="20"/>
        <v>-10</v>
      </c>
      <c r="R229" t="s">
        <v>95</v>
      </c>
    </row>
    <row r="230" spans="1:18" x14ac:dyDescent="0.25">
      <c r="A230" s="33">
        <v>46041</v>
      </c>
      <c r="B230" s="1">
        <v>7590</v>
      </c>
      <c r="C230" s="2" t="s">
        <v>1222</v>
      </c>
      <c r="D230" s="34">
        <v>-3139</v>
      </c>
      <c r="E230" t="s">
        <v>20</v>
      </c>
      <c r="F230" s="2" t="e">
        <f>VLOOKUP(Tabla3[[#This Row],[CONTABLE]],'SAPROV (2)'!L:M,2,FALSE)</f>
        <v>#N/A</v>
      </c>
      <c r="H230" t="s">
        <v>1274</v>
      </c>
      <c r="I230" s="2" t="str">
        <f>VLOOKUP(Tabla3[[#This Row],[Deposito]],'SAPROV (2)'!D:E,2,FALSE)</f>
        <v>02</v>
      </c>
      <c r="K230" t="s">
        <v>54</v>
      </c>
      <c r="L230" s="23" t="str">
        <f>VLOOKUP(Tabla3[[#This Row],[PROVEEDOR]],'SAPROV (2)'!A:B,2,FALSE)</f>
        <v>12</v>
      </c>
      <c r="M230" t="str">
        <f>VLOOKUP(Tabla3[[#This Row],[SERVICIO]],'SAPROV (2)'!I:J,2,FALSE)</f>
        <v>SERV0038</v>
      </c>
      <c r="N230" t="s">
        <v>677</v>
      </c>
      <c r="P230">
        <f>VLOOKUP(Tabla3[[#This Row],[FECHA]],TASA[],2,FALSE)</f>
        <v>344.51</v>
      </c>
      <c r="Q230" s="32">
        <f>D230/P230</f>
        <v>-9.1114916838408178</v>
      </c>
      <c r="R230" t="s">
        <v>95</v>
      </c>
    </row>
    <row r="231" spans="1:18" x14ac:dyDescent="0.25">
      <c r="A231" s="33">
        <v>46042</v>
      </c>
      <c r="B231" s="1">
        <v>6914</v>
      </c>
      <c r="C231" s="2" t="s">
        <v>1190</v>
      </c>
      <c r="D231" s="34">
        <v>-3499.3</v>
      </c>
      <c r="E231" t="s">
        <v>20</v>
      </c>
      <c r="F231" s="2" t="e">
        <f>VLOOKUP(Tabla3[[#This Row],[CONTABLE]],'SAPROV (2)'!L:M,2,FALSE)</f>
        <v>#N/A</v>
      </c>
      <c r="H231" t="s">
        <v>1281</v>
      </c>
      <c r="I231" s="2" t="str">
        <f>VLOOKUP(Tabla3[[#This Row],[Deposito]],'SAPROV (2)'!D:E,2,FALSE)</f>
        <v>07</v>
      </c>
      <c r="K231" t="s">
        <v>54</v>
      </c>
      <c r="L231" s="23" t="str">
        <f>VLOOKUP(Tabla3[[#This Row],[PROVEEDOR]],'SAPROV (2)'!A:B,2,FALSE)</f>
        <v>12</v>
      </c>
      <c r="M231" t="str">
        <f>VLOOKUP(Tabla3[[#This Row],[SERVICIO]],'SAPROV (2)'!I:J,2,FALSE)</f>
        <v>SERV0038</v>
      </c>
      <c r="N231" t="s">
        <v>677</v>
      </c>
      <c r="P231">
        <f>VLOOKUP(Tabla3[[#This Row],[FECHA]],TASA[],2,FALSE)</f>
        <v>344.51</v>
      </c>
      <c r="Q231" s="32">
        <f t="shared" ref="Q231:Q243" si="21">D231/P231</f>
        <v>-10.157324896229428</v>
      </c>
      <c r="R231" t="s">
        <v>95</v>
      </c>
    </row>
    <row r="232" spans="1:18" x14ac:dyDescent="0.25">
      <c r="A232" s="33">
        <v>46042</v>
      </c>
      <c r="B232" s="1">
        <v>8747</v>
      </c>
      <c r="C232" s="2" t="s">
        <v>1223</v>
      </c>
      <c r="D232" s="34">
        <v>-6950</v>
      </c>
      <c r="E232" t="s">
        <v>20</v>
      </c>
      <c r="F232" s="2" t="e">
        <f>VLOOKUP(Tabla3[[#This Row],[CONTABLE]],'SAPROV (2)'!L:M,2,FALSE)</f>
        <v>#N/A</v>
      </c>
      <c r="H232" t="s">
        <v>1281</v>
      </c>
      <c r="I232" s="2" t="str">
        <f>VLOOKUP(Tabla3[[#This Row],[Deposito]],'SAPROV (2)'!D:E,2,FALSE)</f>
        <v>07</v>
      </c>
      <c r="K232" t="s">
        <v>54</v>
      </c>
      <c r="L232" s="2" t="str">
        <f>VLOOKUP(Tabla3[[#This Row],[PROVEEDOR]],'SAPROV (2)'!A:B,2,FALSE)</f>
        <v>12</v>
      </c>
      <c r="M232" t="str">
        <f>VLOOKUP(Tabla3[[#This Row],[SERVICIO]],'SAPROV (2)'!I:J,2,FALSE)</f>
        <v>SERV0038</v>
      </c>
      <c r="N232" t="s">
        <v>677</v>
      </c>
      <c r="P232">
        <f>VLOOKUP(Tabla3[[#This Row],[FECHA]],TASA[],2,FALSE)</f>
        <v>344.51</v>
      </c>
      <c r="Q232" s="32">
        <f t="shared" si="21"/>
        <v>-20.173579867057562</v>
      </c>
      <c r="R232" t="s">
        <v>95</v>
      </c>
    </row>
    <row r="233" spans="1:18" x14ac:dyDescent="0.25">
      <c r="A233" s="33">
        <v>46042</v>
      </c>
      <c r="B233" s="1">
        <v>2117</v>
      </c>
      <c r="C233" s="2" t="s">
        <v>1224</v>
      </c>
      <c r="D233" s="34">
        <v>-10335.299999999999</v>
      </c>
      <c r="E233" t="s">
        <v>20</v>
      </c>
      <c r="F233" s="2" t="e">
        <f>VLOOKUP(Tabla3[[#This Row],[CONTABLE]],'SAPROV (2)'!L:M,2,FALSE)</f>
        <v>#N/A</v>
      </c>
      <c r="H233" t="s">
        <v>588</v>
      </c>
      <c r="I233" s="2" t="str">
        <f>VLOOKUP(Tabla3[[#This Row],[Deposito]],'SAPROV (2)'!D:E,2,FALSE)</f>
        <v>A01</v>
      </c>
      <c r="K233" t="s">
        <v>56</v>
      </c>
      <c r="L233" s="23" t="str">
        <f>VLOOKUP(Tabla3[[#This Row],[PROVEEDOR]],'SAPROV (2)'!A:B,2,FALSE)</f>
        <v>13</v>
      </c>
      <c r="M233" t="str">
        <f>VLOOKUP(Tabla3[[#This Row],[SERVICIO]],'SAPROV (2)'!I:J,2,FALSE)</f>
        <v>SERV0033</v>
      </c>
      <c r="N233" t="s">
        <v>729</v>
      </c>
      <c r="P233">
        <f>VLOOKUP(Tabla3[[#This Row],[FECHA]],TASA[],2,FALSE)</f>
        <v>344.51</v>
      </c>
      <c r="Q233" s="32">
        <f t="shared" si="21"/>
        <v>-30</v>
      </c>
      <c r="R233" t="s">
        <v>95</v>
      </c>
    </row>
    <row r="234" spans="1:18" x14ac:dyDescent="0.25">
      <c r="A234" s="33">
        <v>46042</v>
      </c>
      <c r="B234" s="1">
        <v>9408</v>
      </c>
      <c r="C234" s="2" t="s">
        <v>1225</v>
      </c>
      <c r="D234" s="34">
        <v>-3445.1</v>
      </c>
      <c r="E234" t="s">
        <v>20</v>
      </c>
      <c r="F234" s="2" t="e">
        <f>VLOOKUP(Tabla3[[#This Row],[CONTABLE]],'SAPROV (2)'!L:M,2,FALSE)</f>
        <v>#N/A</v>
      </c>
      <c r="H234" t="s">
        <v>1274</v>
      </c>
      <c r="I234" s="2" t="str">
        <f>VLOOKUP(Tabla3[[#This Row],[Deposito]],'SAPROV (2)'!D:E,2,FALSE)</f>
        <v>02</v>
      </c>
      <c r="K234" t="s">
        <v>54</v>
      </c>
      <c r="L234" s="23" t="str">
        <f>VLOOKUP(Tabla3[[#This Row],[PROVEEDOR]],'SAPROV (2)'!A:B,2,FALSE)</f>
        <v>12</v>
      </c>
      <c r="M234" t="str">
        <f>VLOOKUP(Tabla3[[#This Row],[SERVICIO]],'SAPROV (2)'!I:J,2,FALSE)</f>
        <v>SERV0038</v>
      </c>
      <c r="N234" t="s">
        <v>677</v>
      </c>
      <c r="P234">
        <f>VLOOKUP(Tabla3[[#This Row],[FECHA]],TASA[],2,FALSE)</f>
        <v>344.51</v>
      </c>
      <c r="Q234" s="32">
        <f t="shared" si="21"/>
        <v>-10</v>
      </c>
      <c r="R234" t="s">
        <v>95</v>
      </c>
    </row>
    <row r="235" spans="1:18" x14ac:dyDescent="0.25">
      <c r="A235" s="33">
        <v>46042</v>
      </c>
      <c r="B235" s="1">
        <v>9087</v>
      </c>
      <c r="C235" s="2" t="s">
        <v>1226</v>
      </c>
      <c r="D235" s="34">
        <v>-4000</v>
      </c>
      <c r="E235" t="s">
        <v>20</v>
      </c>
      <c r="F235" s="2" t="e">
        <f>VLOOKUP(Tabla3[[#This Row],[CONTABLE]],'SAPROV (2)'!L:M,2,FALSE)</f>
        <v>#N/A</v>
      </c>
      <c r="H235" t="s">
        <v>588</v>
      </c>
      <c r="I235" s="2" t="str">
        <f>VLOOKUP(Tabla3[[#This Row],[Deposito]],'SAPROV (2)'!D:E,2,FALSE)</f>
        <v>A01</v>
      </c>
      <c r="K235" s="2" t="s">
        <v>50</v>
      </c>
      <c r="L235" s="2" t="str">
        <f>VLOOKUP(Tabla3[[#This Row],[PROVEEDOR]],'SAPROV (2)'!A:B,2,FALSE)</f>
        <v>10</v>
      </c>
      <c r="M235" t="str">
        <f>VLOOKUP(Tabla3[[#This Row],[SERVICIO]],'SAPROV (2)'!I:J,2,FALSE)</f>
        <v>SERV0145</v>
      </c>
      <c r="N235" t="s">
        <v>932</v>
      </c>
      <c r="P235">
        <f>VLOOKUP(Tabla3[[#This Row],[FECHA]],TASA[],2,FALSE)</f>
        <v>344.51</v>
      </c>
      <c r="Q235" s="32">
        <f t="shared" si="21"/>
        <v>-11.610693448666222</v>
      </c>
      <c r="R235" t="s">
        <v>95</v>
      </c>
    </row>
    <row r="236" spans="1:18" x14ac:dyDescent="0.25">
      <c r="A236" s="33">
        <v>46043</v>
      </c>
      <c r="B236" s="1">
        <v>5276</v>
      </c>
      <c r="C236" s="2" t="s">
        <v>1227</v>
      </c>
      <c r="D236" s="34">
        <v>-4341</v>
      </c>
      <c r="E236" t="s">
        <v>20</v>
      </c>
      <c r="F236" s="2" t="e">
        <f>VLOOKUP(Tabla3[[#This Row],[CONTABLE]],'SAPROV (2)'!L:M,2,FALSE)</f>
        <v>#N/A</v>
      </c>
      <c r="H236" t="s">
        <v>1274</v>
      </c>
      <c r="I236" s="2" t="str">
        <f>VLOOKUP(Tabla3[[#This Row],[Deposito]],'SAPROV (2)'!D:E,2,FALSE)</f>
        <v>02</v>
      </c>
      <c r="K236" t="s">
        <v>54</v>
      </c>
      <c r="L236" s="23" t="str">
        <f>VLOOKUP(Tabla3[[#This Row],[PROVEEDOR]],'SAPROV (2)'!A:B,2,FALSE)</f>
        <v>12</v>
      </c>
      <c r="M236" t="str">
        <f>VLOOKUP(Tabla3[[#This Row],[SERVICIO]],'SAPROV (2)'!I:J,2,FALSE)</f>
        <v>SERV0038</v>
      </c>
      <c r="N236" t="s">
        <v>677</v>
      </c>
      <c r="P236">
        <f>VLOOKUP(Tabla3[[#This Row],[FECHA]],TASA[],2,FALSE)</f>
        <v>347.26</v>
      </c>
      <c r="Q236" s="32">
        <f t="shared" si="21"/>
        <v>-12.500719921672522</v>
      </c>
      <c r="R236" t="s">
        <v>95</v>
      </c>
    </row>
    <row r="237" spans="1:18" x14ac:dyDescent="0.25">
      <c r="A237" s="33">
        <v>46043</v>
      </c>
      <c r="B237" s="1">
        <v>5630</v>
      </c>
      <c r="C237" s="2" t="s">
        <v>1220</v>
      </c>
      <c r="D237" s="34">
        <v>-3475</v>
      </c>
      <c r="E237" t="s">
        <v>20</v>
      </c>
      <c r="F237" s="2" t="e">
        <f>VLOOKUP(Tabla3[[#This Row],[CONTABLE]],'SAPROV (2)'!L:M,2,FALSE)</f>
        <v>#N/A</v>
      </c>
      <c r="H237" t="s">
        <v>1274</v>
      </c>
      <c r="I237" s="2" t="str">
        <f>VLOOKUP(Tabla3[[#This Row],[Deposito]],'SAPROV (2)'!D:E,2,FALSE)</f>
        <v>02</v>
      </c>
      <c r="K237" t="s">
        <v>54</v>
      </c>
      <c r="L237" s="23" t="str">
        <f>VLOOKUP(Tabla3[[#This Row],[PROVEEDOR]],'SAPROV (2)'!A:B,2,FALSE)</f>
        <v>12</v>
      </c>
      <c r="M237" t="str">
        <f>VLOOKUP(Tabla3[[#This Row],[SERVICIO]],'SAPROV (2)'!I:J,2,FALSE)</f>
        <v>SERV0038</v>
      </c>
      <c r="N237" t="s">
        <v>677</v>
      </c>
      <c r="P237">
        <f>VLOOKUP(Tabla3[[#This Row],[FECHA]],TASA[],2,FALSE)</f>
        <v>347.26</v>
      </c>
      <c r="Q237" s="32">
        <f t="shared" si="21"/>
        <v>-10.006911248056213</v>
      </c>
      <c r="R237" t="s">
        <v>95</v>
      </c>
    </row>
    <row r="238" spans="1:18" x14ac:dyDescent="0.25">
      <c r="A238" s="33">
        <v>46044</v>
      </c>
      <c r="B238" s="1">
        <v>1240</v>
      </c>
      <c r="C238" s="2" t="s">
        <v>1228</v>
      </c>
      <c r="D238" s="34">
        <v>-12247.2</v>
      </c>
      <c r="E238" t="s">
        <v>20</v>
      </c>
      <c r="F238" s="2" t="e">
        <f>VLOOKUP(Tabla3[[#This Row],[CONTABLE]],'SAPROV (2)'!L:M,2,FALSE)</f>
        <v>#N/A</v>
      </c>
      <c r="H238" t="s">
        <v>1281</v>
      </c>
      <c r="I238" s="2" t="str">
        <f>VLOOKUP(Tabla3[[#This Row],[Deposito]],'SAPROV (2)'!D:E,2,FALSE)</f>
        <v>07</v>
      </c>
      <c r="K238" t="s">
        <v>54</v>
      </c>
      <c r="L238" s="2" t="str">
        <f>VLOOKUP(Tabla3[[#This Row],[PROVEEDOR]],'SAPROV (2)'!A:B,2,FALSE)</f>
        <v>12</v>
      </c>
      <c r="M238" t="str">
        <f>VLOOKUP(Tabla3[[#This Row],[SERVICIO]],'SAPROV (2)'!I:J,2,FALSE)</f>
        <v>SERV0038</v>
      </c>
      <c r="N238" t="s">
        <v>677</v>
      </c>
      <c r="P238">
        <f>VLOOKUP(Tabla3[[#This Row],[FECHA]],TASA[],2,FALSE)</f>
        <v>349.93</v>
      </c>
      <c r="Q238" s="32">
        <f t="shared" si="21"/>
        <v>-34.998999799959996</v>
      </c>
      <c r="R238" t="s">
        <v>95</v>
      </c>
    </row>
    <row r="239" spans="1:18" x14ac:dyDescent="0.25">
      <c r="A239" s="33">
        <v>46044</v>
      </c>
      <c r="B239" s="1">
        <v>2529</v>
      </c>
      <c r="C239" s="2" t="s">
        <v>1229</v>
      </c>
      <c r="D239" s="34">
        <v>-2099.58</v>
      </c>
      <c r="E239" t="s">
        <v>20</v>
      </c>
      <c r="F239" s="2" t="e">
        <f>VLOOKUP(Tabla3[[#This Row],[CONTABLE]],'SAPROV (2)'!L:M,2,FALSE)</f>
        <v>#N/A</v>
      </c>
      <c r="H239" t="s">
        <v>1274</v>
      </c>
      <c r="I239" s="2" t="str">
        <f>VLOOKUP(Tabla3[[#This Row],[Deposito]],'SAPROV (2)'!D:E,2,FALSE)</f>
        <v>02</v>
      </c>
      <c r="K239" t="s">
        <v>54</v>
      </c>
      <c r="L239" s="23" t="str">
        <f>VLOOKUP(Tabla3[[#This Row],[PROVEEDOR]],'SAPROV (2)'!A:B,2,FALSE)</f>
        <v>12</v>
      </c>
      <c r="M239" t="str">
        <f>VLOOKUP(Tabla3[[#This Row],[SERVICIO]],'SAPROV (2)'!I:J,2,FALSE)</f>
        <v>SERV0038</v>
      </c>
      <c r="N239" t="s">
        <v>677</v>
      </c>
      <c r="P239">
        <f>VLOOKUP(Tabla3[[#This Row],[FECHA]],TASA[],2,FALSE)</f>
        <v>349.93</v>
      </c>
      <c r="Q239" s="32">
        <f t="shared" si="21"/>
        <v>-6</v>
      </c>
      <c r="R239" t="s">
        <v>95</v>
      </c>
    </row>
    <row r="240" spans="1:18" x14ac:dyDescent="0.25">
      <c r="A240" s="33">
        <v>46044</v>
      </c>
      <c r="B240" s="1">
        <v>9982</v>
      </c>
      <c r="C240" s="2" t="s">
        <v>1220</v>
      </c>
      <c r="D240" s="34">
        <v>-3499.2</v>
      </c>
      <c r="E240" t="s">
        <v>20</v>
      </c>
      <c r="F240" s="2" t="e">
        <f>VLOOKUP(Tabla3[[#This Row],[CONTABLE]],'SAPROV (2)'!L:M,2,FALSE)</f>
        <v>#N/A</v>
      </c>
      <c r="H240" t="s">
        <v>1274</v>
      </c>
      <c r="I240" s="2" t="str">
        <f>VLOOKUP(Tabla3[[#This Row],[Deposito]],'SAPROV (2)'!D:E,2,FALSE)</f>
        <v>02</v>
      </c>
      <c r="K240" t="s">
        <v>54</v>
      </c>
      <c r="L240" s="23" t="str">
        <f>VLOOKUP(Tabla3[[#This Row],[PROVEEDOR]],'SAPROV (2)'!A:B,2,FALSE)</f>
        <v>12</v>
      </c>
      <c r="M240" t="str">
        <f>VLOOKUP(Tabla3[[#This Row],[SERVICIO]],'SAPROV (2)'!I:J,2,FALSE)</f>
        <v>SERV0038</v>
      </c>
      <c r="N240" t="s">
        <v>677</v>
      </c>
      <c r="P240">
        <f>VLOOKUP(Tabla3[[#This Row],[FECHA]],TASA[],2,FALSE)</f>
        <v>349.93</v>
      </c>
      <c r="Q240" s="32">
        <f t="shared" si="21"/>
        <v>-9.9997142285599967</v>
      </c>
      <c r="R240" t="s">
        <v>95</v>
      </c>
    </row>
    <row r="241" spans="1:18" x14ac:dyDescent="0.25">
      <c r="A241" s="33">
        <v>46044</v>
      </c>
      <c r="B241" s="1">
        <v>5597</v>
      </c>
      <c r="C241" s="2" t="s">
        <v>1230</v>
      </c>
      <c r="D241" s="34">
        <v>-20121</v>
      </c>
      <c r="E241" t="s">
        <v>20</v>
      </c>
      <c r="F241" s="2" t="e">
        <f>VLOOKUP(Tabla3[[#This Row],[CONTABLE]],'SAPROV (2)'!L:M,2,FALSE)</f>
        <v>#N/A</v>
      </c>
      <c r="H241" t="s">
        <v>1281</v>
      </c>
      <c r="I241" s="2" t="str">
        <f>VLOOKUP(Tabla3[[#This Row],[Deposito]],'SAPROV (2)'!D:E,2,FALSE)</f>
        <v>07</v>
      </c>
      <c r="K241" t="s">
        <v>54</v>
      </c>
      <c r="L241" s="2" t="str">
        <f>VLOOKUP(Tabla3[[#This Row],[PROVEEDOR]],'SAPROV (2)'!A:B,2,FALSE)</f>
        <v>12</v>
      </c>
      <c r="M241" t="str">
        <f>VLOOKUP(Tabla3[[#This Row],[SERVICIO]],'SAPROV (2)'!I:J,2,FALSE)</f>
        <v>SERV0038</v>
      </c>
      <c r="N241" t="s">
        <v>677</v>
      </c>
      <c r="P241">
        <f>VLOOKUP(Tabla3[[#This Row],[FECHA]],TASA[],2,FALSE)</f>
        <v>349.93</v>
      </c>
      <c r="Q241" s="32">
        <f t="shared" si="21"/>
        <v>-57.500071442859998</v>
      </c>
      <c r="R241" t="s">
        <v>95</v>
      </c>
    </row>
    <row r="242" spans="1:18" x14ac:dyDescent="0.25">
      <c r="A242" s="33">
        <v>46044</v>
      </c>
      <c r="B242" s="1">
        <v>3030</v>
      </c>
      <c r="C242" s="2" t="s">
        <v>1189</v>
      </c>
      <c r="D242" s="34">
        <v>-17496</v>
      </c>
      <c r="E242" t="s">
        <v>20</v>
      </c>
      <c r="F242" s="2" t="e">
        <f>VLOOKUP(Tabla3[[#This Row],[CONTABLE]],'SAPROV (2)'!L:M,2,FALSE)</f>
        <v>#N/A</v>
      </c>
      <c r="H242" t="s">
        <v>1281</v>
      </c>
      <c r="I242" s="2" t="str">
        <f>VLOOKUP(Tabla3[[#This Row],[Deposito]],'SAPROV (2)'!D:E,2,FALSE)</f>
        <v>07</v>
      </c>
      <c r="K242" t="s">
        <v>54</v>
      </c>
      <c r="L242" s="23" t="str">
        <f>VLOOKUP(Tabla3[[#This Row],[PROVEEDOR]],'SAPROV (2)'!A:B,2,FALSE)</f>
        <v>12</v>
      </c>
      <c r="M242" t="str">
        <f>VLOOKUP(Tabla3[[#This Row],[SERVICIO]],'SAPROV (2)'!I:J,2,FALSE)</f>
        <v>SERV0038</v>
      </c>
      <c r="N242" t="s">
        <v>677</v>
      </c>
      <c r="P242">
        <f>VLOOKUP(Tabla3[[#This Row],[FECHA]],TASA[],2,FALSE)</f>
        <v>349.93</v>
      </c>
      <c r="Q242" s="32">
        <f t="shared" si="21"/>
        <v>-49.998571142799989</v>
      </c>
      <c r="R242" t="s">
        <v>95</v>
      </c>
    </row>
    <row r="243" spans="1:18" x14ac:dyDescent="0.25">
      <c r="A243" s="33">
        <v>46045</v>
      </c>
      <c r="B243" s="1">
        <v>1794</v>
      </c>
      <c r="C243" s="2" t="s">
        <v>1179</v>
      </c>
      <c r="D243" s="34">
        <v>-1749.6</v>
      </c>
      <c r="E243" t="s">
        <v>20</v>
      </c>
      <c r="F243" s="2" t="e">
        <f>VLOOKUP(Tabla3[[#This Row],[CONTABLE]],'SAPROV (2)'!L:M,2,FALSE)</f>
        <v>#N/A</v>
      </c>
      <c r="H243" t="s">
        <v>1281</v>
      </c>
      <c r="I243" s="2" t="str">
        <f>VLOOKUP(Tabla3[[#This Row],[Deposito]],'SAPROV (2)'!D:E,2,FALSE)</f>
        <v>07</v>
      </c>
      <c r="K243" t="s">
        <v>54</v>
      </c>
      <c r="L243" s="23" t="str">
        <f>VLOOKUP(Tabla3[[#This Row],[PROVEEDOR]],'SAPROV (2)'!A:B,2,FALSE)</f>
        <v>12</v>
      </c>
      <c r="M243" t="str">
        <f>VLOOKUP(Tabla3[[#This Row],[SERVICIO]],'SAPROV (2)'!I:J,2,FALSE)</f>
        <v>SERV0038</v>
      </c>
      <c r="N243" t="s">
        <v>677</v>
      </c>
      <c r="P243">
        <f>VLOOKUP(Tabla3[[#This Row],[FECHA]],TASA[],2,FALSE)</f>
        <v>352.71</v>
      </c>
      <c r="Q243" s="32">
        <f t="shared" si="21"/>
        <v>-4.9604490941566723</v>
      </c>
      <c r="R243" t="s">
        <v>95</v>
      </c>
    </row>
    <row r="244" spans="1:18" x14ac:dyDescent="0.25">
      <c r="A244" s="33">
        <v>46048</v>
      </c>
      <c r="B244" s="1">
        <v>7454</v>
      </c>
      <c r="C244" s="2" t="s">
        <v>1231</v>
      </c>
      <c r="D244" s="34">
        <v>-8711</v>
      </c>
      <c r="E244" t="s">
        <v>20</v>
      </c>
      <c r="F244" s="2" t="e">
        <f>VLOOKUP(Tabla3[[#This Row],[CONTABLE]],'SAPROV (2)'!L:M,2,FALSE)</f>
        <v>#N/A</v>
      </c>
      <c r="H244" t="s">
        <v>1280</v>
      </c>
      <c r="I244" s="2" t="str">
        <f>VLOOKUP(Tabla3[[#This Row],[Deposito]],'SAPROV (2)'!D:E,2,FALSE)</f>
        <v>01</v>
      </c>
      <c r="K244" t="s">
        <v>54</v>
      </c>
      <c r="L244" s="2" t="str">
        <f>VLOOKUP(Tabla3[[#This Row],[PROVEEDOR]],'SAPROV (2)'!A:B,2,FALSE)</f>
        <v>12</v>
      </c>
      <c r="M244" t="str">
        <f>VLOOKUP(Tabla3[[#This Row],[SERVICIO]],'SAPROV (2)'!I:J,2,FALSE)</f>
        <v>SERV0038</v>
      </c>
      <c r="N244" t="s">
        <v>677</v>
      </c>
      <c r="P244">
        <f>VLOOKUP(Tabla3[[#This Row],[FECHA]],TASA[],2,FALSE)</f>
        <v>355.55</v>
      </c>
      <c r="Q244" s="32">
        <f t="shared" ref="Q244:Q255" si="22">D244/P244</f>
        <v>-24.500070313598648</v>
      </c>
      <c r="R244" t="s">
        <v>95</v>
      </c>
    </row>
    <row r="245" spans="1:18" x14ac:dyDescent="0.25">
      <c r="A245" s="33">
        <v>46048</v>
      </c>
      <c r="B245" s="1">
        <v>8876</v>
      </c>
      <c r="C245" s="2" t="s">
        <v>1232</v>
      </c>
      <c r="D245" s="34">
        <v>-3556</v>
      </c>
      <c r="E245" t="s">
        <v>20</v>
      </c>
      <c r="F245" s="2" t="e">
        <f>VLOOKUP(Tabla3[[#This Row],[CONTABLE]],'SAPROV (2)'!L:M,2,FALSE)</f>
        <v>#N/A</v>
      </c>
      <c r="H245" t="s">
        <v>1281</v>
      </c>
      <c r="I245" s="2" t="str">
        <f>VLOOKUP(Tabla3[[#This Row],[Deposito]],'SAPROV (2)'!D:E,2,FALSE)</f>
        <v>07</v>
      </c>
      <c r="K245" t="s">
        <v>54</v>
      </c>
      <c r="L245" s="23" t="str">
        <f>VLOOKUP(Tabla3[[#This Row],[PROVEEDOR]],'SAPROV (2)'!A:B,2,FALSE)</f>
        <v>12</v>
      </c>
      <c r="M245" t="str">
        <f>VLOOKUP(Tabla3[[#This Row],[SERVICIO]],'SAPROV (2)'!I:J,2,FALSE)</f>
        <v>SERV0038</v>
      </c>
      <c r="N245" t="s">
        <v>677</v>
      </c>
      <c r="P245">
        <f>VLOOKUP(Tabla3[[#This Row],[FECHA]],TASA[],2,FALSE)</f>
        <v>355.55</v>
      </c>
      <c r="Q245" s="32">
        <f t="shared" si="22"/>
        <v>-10.001406271973</v>
      </c>
      <c r="R245" t="s">
        <v>95</v>
      </c>
    </row>
    <row r="246" spans="1:18" x14ac:dyDescent="0.25">
      <c r="A246" s="33">
        <v>46048</v>
      </c>
      <c r="B246" s="1">
        <v>8653</v>
      </c>
      <c r="C246" s="2" t="s">
        <v>1233</v>
      </c>
      <c r="D246" s="34">
        <v>-1778</v>
      </c>
      <c r="E246" t="s">
        <v>20</v>
      </c>
      <c r="F246" s="2" t="e">
        <f>VLOOKUP(Tabla3[[#This Row],[CONTABLE]],'SAPROV (2)'!L:M,2,FALSE)</f>
        <v>#N/A</v>
      </c>
      <c r="H246" t="s">
        <v>1280</v>
      </c>
      <c r="I246" s="2" t="str">
        <f>VLOOKUP(Tabla3[[#This Row],[Deposito]],'SAPROV (2)'!D:E,2,FALSE)</f>
        <v>01</v>
      </c>
      <c r="K246" t="s">
        <v>54</v>
      </c>
      <c r="L246" s="23" t="str">
        <f>VLOOKUP(Tabla3[[#This Row],[PROVEEDOR]],'SAPROV (2)'!A:B,2,FALSE)</f>
        <v>12</v>
      </c>
      <c r="M246" t="str">
        <f>VLOOKUP(Tabla3[[#This Row],[SERVICIO]],'SAPROV (2)'!I:J,2,FALSE)</f>
        <v>SERV0038</v>
      </c>
      <c r="N246" t="s">
        <v>677</v>
      </c>
      <c r="P246">
        <f>VLOOKUP(Tabla3[[#This Row],[FECHA]],TASA[],2,FALSE)</f>
        <v>355.55</v>
      </c>
      <c r="Q246" s="32">
        <f t="shared" si="22"/>
        <v>-5.0007031359865</v>
      </c>
      <c r="R246" t="s">
        <v>95</v>
      </c>
    </row>
    <row r="247" spans="1:18" x14ac:dyDescent="0.25">
      <c r="A247" s="33">
        <v>46048</v>
      </c>
      <c r="B247" s="1">
        <v>5461</v>
      </c>
      <c r="C247" s="2" t="s">
        <v>1228</v>
      </c>
      <c r="D247" s="34">
        <v>-12444.6</v>
      </c>
      <c r="E247" t="s">
        <v>20</v>
      </c>
      <c r="F247" s="2" t="e">
        <f>VLOOKUP(Tabla3[[#This Row],[CONTABLE]],'SAPROV (2)'!L:M,2,FALSE)</f>
        <v>#N/A</v>
      </c>
      <c r="H247" t="s">
        <v>1281</v>
      </c>
      <c r="I247" s="2" t="str">
        <f>VLOOKUP(Tabla3[[#This Row],[Deposito]],'SAPROV (2)'!D:E,2,FALSE)</f>
        <v>07</v>
      </c>
      <c r="K247" t="s">
        <v>54</v>
      </c>
      <c r="L247" s="2" t="str">
        <f>VLOOKUP(Tabla3[[#This Row],[PROVEEDOR]],'SAPROV (2)'!A:B,2,FALSE)</f>
        <v>12</v>
      </c>
      <c r="M247" t="str">
        <f>VLOOKUP(Tabla3[[#This Row],[SERVICIO]],'SAPROV (2)'!I:J,2,FALSE)</f>
        <v>SERV0038</v>
      </c>
      <c r="N247" t="s">
        <v>677</v>
      </c>
      <c r="P247">
        <f>VLOOKUP(Tabla3[[#This Row],[FECHA]],TASA[],2,FALSE)</f>
        <v>355.55</v>
      </c>
      <c r="Q247" s="32">
        <f t="shared" si="22"/>
        <v>-35.000984390381099</v>
      </c>
      <c r="R247" t="s">
        <v>95</v>
      </c>
    </row>
    <row r="248" spans="1:18" x14ac:dyDescent="0.25">
      <c r="A248" s="33">
        <v>46048</v>
      </c>
      <c r="B248" s="1">
        <v>7722</v>
      </c>
      <c r="C248" s="2" t="s">
        <v>1202</v>
      </c>
      <c r="D248" s="34">
        <v>-1410.8</v>
      </c>
      <c r="E248" t="s">
        <v>20</v>
      </c>
      <c r="F248" s="2" t="e">
        <f>VLOOKUP(Tabla3[[#This Row],[CONTABLE]],'SAPROV (2)'!L:M,2,FALSE)</f>
        <v>#N/A</v>
      </c>
      <c r="H248" t="s">
        <v>1274</v>
      </c>
      <c r="I248" s="2" t="str">
        <f>VLOOKUP(Tabla3[[#This Row],[Deposito]],'SAPROV (2)'!D:E,2,FALSE)</f>
        <v>02</v>
      </c>
      <c r="K248" t="s">
        <v>54</v>
      </c>
      <c r="L248" s="23" t="str">
        <f>VLOOKUP(Tabla3[[#This Row],[PROVEEDOR]],'SAPROV (2)'!A:B,2,FALSE)</f>
        <v>12</v>
      </c>
      <c r="M248" t="str">
        <f>VLOOKUP(Tabla3[[#This Row],[SERVICIO]],'SAPROV (2)'!I:J,2,FALSE)</f>
        <v>SERV0038</v>
      </c>
      <c r="N248" t="s">
        <v>677</v>
      </c>
      <c r="P248">
        <f>VLOOKUP(Tabla3[[#This Row],[FECHA]],TASA[],2,FALSE)</f>
        <v>355.55</v>
      </c>
      <c r="Q248" s="32">
        <f t="shared" si="22"/>
        <v>-3.9679369990156093</v>
      </c>
      <c r="R248" t="s">
        <v>95</v>
      </c>
    </row>
    <row r="249" spans="1:18" x14ac:dyDescent="0.25">
      <c r="A249" s="33">
        <v>46048</v>
      </c>
      <c r="B249" s="1">
        <v>5819</v>
      </c>
      <c r="C249" s="2" t="s">
        <v>1234</v>
      </c>
      <c r="D249" s="34">
        <v>-1770</v>
      </c>
      <c r="E249" t="s">
        <v>20</v>
      </c>
      <c r="F249" s="2" t="e">
        <f>VLOOKUP(Tabla3[[#This Row],[CONTABLE]],'SAPROV (2)'!L:M,2,FALSE)</f>
        <v>#N/A</v>
      </c>
      <c r="H249" t="s">
        <v>1274</v>
      </c>
      <c r="I249" s="2" t="str">
        <f>VLOOKUP(Tabla3[[#This Row],[Deposito]],'SAPROV (2)'!D:E,2,FALSE)</f>
        <v>02</v>
      </c>
      <c r="K249" t="s">
        <v>54</v>
      </c>
      <c r="L249" s="23" t="str">
        <f>VLOOKUP(Tabla3[[#This Row],[PROVEEDOR]],'SAPROV (2)'!A:B,2,FALSE)</f>
        <v>12</v>
      </c>
      <c r="M249" t="str">
        <f>VLOOKUP(Tabla3[[#This Row],[SERVICIO]],'SAPROV (2)'!I:J,2,FALSE)</f>
        <v>SERV0038</v>
      </c>
      <c r="N249" t="s">
        <v>677</v>
      </c>
      <c r="P249">
        <f>VLOOKUP(Tabla3[[#This Row],[FECHA]],TASA[],2,FALSE)</f>
        <v>355.55</v>
      </c>
      <c r="Q249" s="32">
        <f t="shared" si="22"/>
        <v>-4.9782027844185066</v>
      </c>
      <c r="R249" t="s">
        <v>95</v>
      </c>
    </row>
    <row r="250" spans="1:18" x14ac:dyDescent="0.25">
      <c r="A250" s="33">
        <v>46048</v>
      </c>
      <c r="B250" s="1">
        <v>8266</v>
      </c>
      <c r="C250" s="2" t="s">
        <v>1235</v>
      </c>
      <c r="D250" s="34">
        <v>-3590</v>
      </c>
      <c r="E250" t="s">
        <v>20</v>
      </c>
      <c r="F250" s="2" t="e">
        <f>VLOOKUP(Tabla3[[#This Row],[CONTABLE]],'SAPROV (2)'!L:M,2,FALSE)</f>
        <v>#N/A</v>
      </c>
      <c r="H250" t="s">
        <v>1281</v>
      </c>
      <c r="I250" s="2" t="str">
        <f>VLOOKUP(Tabla3[[#This Row],[Deposito]],'SAPROV (2)'!D:E,2,FALSE)</f>
        <v>07</v>
      </c>
      <c r="K250" t="s">
        <v>54</v>
      </c>
      <c r="L250" s="2" t="str">
        <f>VLOOKUP(Tabla3[[#This Row],[PROVEEDOR]],'SAPROV (2)'!A:B,2,FALSE)</f>
        <v>12</v>
      </c>
      <c r="M250" t="str">
        <f>VLOOKUP(Tabla3[[#This Row],[SERVICIO]],'SAPROV (2)'!I:J,2,FALSE)</f>
        <v>SERV0038</v>
      </c>
      <c r="N250" t="s">
        <v>677</v>
      </c>
      <c r="P250">
        <f>VLOOKUP(Tabla3[[#This Row],[FECHA]],TASA[],2,FALSE)</f>
        <v>355.55</v>
      </c>
      <c r="Q250" s="32">
        <f t="shared" si="22"/>
        <v>-10.097032766136971</v>
      </c>
      <c r="R250" t="s">
        <v>95</v>
      </c>
    </row>
    <row r="251" spans="1:18" x14ac:dyDescent="0.25">
      <c r="A251" s="33">
        <v>46049</v>
      </c>
      <c r="B251" s="1">
        <v>8832</v>
      </c>
      <c r="C251" s="2" t="s">
        <v>1236</v>
      </c>
      <c r="D251" s="34">
        <v>-20100</v>
      </c>
      <c r="E251" t="s">
        <v>20</v>
      </c>
      <c r="F251" s="2" t="e">
        <f>VLOOKUP(Tabla3[[#This Row],[CONTABLE]],'SAPROV (2)'!L:M,2,FALSE)</f>
        <v>#N/A</v>
      </c>
      <c r="H251" t="s">
        <v>1274</v>
      </c>
      <c r="I251" s="2" t="str">
        <f>VLOOKUP(Tabla3[[#This Row],[Deposito]],'SAPROV (2)'!D:E,2,FALSE)</f>
        <v>02</v>
      </c>
      <c r="K251" t="s">
        <v>54</v>
      </c>
      <c r="L251" s="23" t="str">
        <f>VLOOKUP(Tabla3[[#This Row],[PROVEEDOR]],'SAPROV (2)'!A:B,2,FALSE)</f>
        <v>12</v>
      </c>
      <c r="M251" t="str">
        <f>VLOOKUP(Tabla3[[#This Row],[SERVICIO]],'SAPROV (2)'!I:J,2,FALSE)</f>
        <v>SERV0038</v>
      </c>
      <c r="N251" t="s">
        <v>677</v>
      </c>
      <c r="P251">
        <f>VLOOKUP(Tabla3[[#This Row],[FECHA]],TASA[],2,FALSE)</f>
        <v>358.92</v>
      </c>
      <c r="Q251" s="32">
        <f t="shared" si="22"/>
        <v>-56.001337345369436</v>
      </c>
      <c r="R251" t="s">
        <v>95</v>
      </c>
    </row>
    <row r="252" spans="1:18" x14ac:dyDescent="0.25">
      <c r="A252" s="33">
        <v>46049</v>
      </c>
      <c r="B252" s="1">
        <v>2384</v>
      </c>
      <c r="C252" s="2" t="s">
        <v>1237</v>
      </c>
      <c r="D252" s="34">
        <v>-2239.96</v>
      </c>
      <c r="E252" t="s">
        <v>20</v>
      </c>
      <c r="F252" s="2" t="e">
        <f>VLOOKUP(Tabla3[[#This Row],[CONTABLE]],'SAPROV (2)'!L:M,2,FALSE)</f>
        <v>#N/A</v>
      </c>
      <c r="H252" t="s">
        <v>1274</v>
      </c>
      <c r="I252" s="2" t="str">
        <f>VLOOKUP(Tabla3[[#This Row],[Deposito]],'SAPROV (2)'!D:E,2,FALSE)</f>
        <v>02</v>
      </c>
      <c r="K252" t="s">
        <v>54</v>
      </c>
      <c r="L252" s="23" t="str">
        <f>VLOOKUP(Tabla3[[#This Row],[PROVEEDOR]],'SAPROV (2)'!A:B,2,FALSE)</f>
        <v>12</v>
      </c>
      <c r="M252" t="str">
        <f>VLOOKUP(Tabla3[[#This Row],[SERVICIO]],'SAPROV (2)'!I:J,2,FALSE)</f>
        <v>SERV0038</v>
      </c>
      <c r="N252" t="s">
        <v>677</v>
      </c>
      <c r="P252">
        <f>VLOOKUP(Tabla3[[#This Row],[FECHA]],TASA[],2,FALSE)</f>
        <v>358.92</v>
      </c>
      <c r="Q252" s="32">
        <f t="shared" si="22"/>
        <v>-6.2408336119469521</v>
      </c>
      <c r="R252" t="s">
        <v>95</v>
      </c>
    </row>
    <row r="253" spans="1:18" x14ac:dyDescent="0.25">
      <c r="A253" s="33">
        <v>46049</v>
      </c>
      <c r="B253" s="1">
        <v>9103</v>
      </c>
      <c r="C253" s="2" t="s">
        <v>1238</v>
      </c>
      <c r="D253" s="34">
        <v>-717</v>
      </c>
      <c r="E253" t="s">
        <v>20</v>
      </c>
      <c r="F253" s="2" t="e">
        <f>VLOOKUP(Tabla3[[#This Row],[CONTABLE]],'SAPROV (2)'!L:M,2,FALSE)</f>
        <v>#N/A</v>
      </c>
      <c r="H253" t="s">
        <v>1281</v>
      </c>
      <c r="I253" s="2" t="str">
        <f>VLOOKUP(Tabla3[[#This Row],[Deposito]],'SAPROV (2)'!D:E,2,FALSE)</f>
        <v>07</v>
      </c>
      <c r="K253" t="s">
        <v>73</v>
      </c>
      <c r="L253" s="2" t="str">
        <f>VLOOKUP(Tabla3[[#This Row],[PROVEEDOR]],'SAPROV (2)'!A:B,2,FALSE)</f>
        <v>22</v>
      </c>
      <c r="M253" t="str">
        <f>VLOOKUP(Tabla3[[#This Row],[SERVICIO]],'SAPROV (2)'!I:J,2,FALSE)</f>
        <v>SERV0082</v>
      </c>
      <c r="N253" t="s">
        <v>792</v>
      </c>
      <c r="P253">
        <f>VLOOKUP(Tabla3[[#This Row],[FECHA]],TASA[],2,FALSE)</f>
        <v>358.92</v>
      </c>
      <c r="Q253" s="38">
        <f t="shared" si="22"/>
        <v>-1.997659645603477</v>
      </c>
      <c r="R253" t="s">
        <v>95</v>
      </c>
    </row>
    <row r="254" spans="1:18" x14ac:dyDescent="0.25">
      <c r="A254" s="33">
        <v>46049</v>
      </c>
      <c r="B254" s="1">
        <v>4700</v>
      </c>
      <c r="C254" s="2" t="s">
        <v>1239</v>
      </c>
      <c r="D254" s="34">
        <v>-25124.400000000001</v>
      </c>
      <c r="E254" t="s">
        <v>20</v>
      </c>
      <c r="F254" s="2" t="e">
        <f>VLOOKUP(Tabla3[[#This Row],[CONTABLE]],'SAPROV (2)'!L:M,2,FALSE)</f>
        <v>#N/A</v>
      </c>
      <c r="H254" t="s">
        <v>1281</v>
      </c>
      <c r="I254" s="2" t="str">
        <f>VLOOKUP(Tabla3[[#This Row],[Deposito]],'SAPROV (2)'!D:E,2,FALSE)</f>
        <v>07</v>
      </c>
      <c r="K254" t="s">
        <v>54</v>
      </c>
      <c r="L254" s="23" t="str">
        <f>VLOOKUP(Tabla3[[#This Row],[PROVEEDOR]],'SAPROV (2)'!A:B,2,FALSE)</f>
        <v>12</v>
      </c>
      <c r="M254" t="str">
        <f>VLOOKUP(Tabla3[[#This Row],[SERVICIO]],'SAPROV (2)'!I:J,2,FALSE)</f>
        <v>SERV0038</v>
      </c>
      <c r="N254" t="s">
        <v>677</v>
      </c>
      <c r="P254">
        <f>VLOOKUP(Tabla3[[#This Row],[FECHA]],TASA[],2,FALSE)</f>
        <v>358.92</v>
      </c>
      <c r="Q254" s="32">
        <f t="shared" si="22"/>
        <v>-70</v>
      </c>
      <c r="R254" t="s">
        <v>95</v>
      </c>
    </row>
    <row r="255" spans="1:18" x14ac:dyDescent="0.25">
      <c r="A255" s="33">
        <v>46049</v>
      </c>
      <c r="C255" s="2" t="s">
        <v>1176</v>
      </c>
      <c r="D255" s="34">
        <v>-7178.4</v>
      </c>
      <c r="E255" t="s">
        <v>20</v>
      </c>
      <c r="F255" s="2" t="e">
        <f>VLOOKUP(Tabla3[[#This Row],[CONTABLE]],'SAPROV (2)'!L:M,2,FALSE)</f>
        <v>#N/A</v>
      </c>
      <c r="H255" t="s">
        <v>1274</v>
      </c>
      <c r="I255" s="2" t="str">
        <f>VLOOKUP(Tabla3[[#This Row],[Deposito]],'SAPROV (2)'!D:E,2,FALSE)</f>
        <v>02</v>
      </c>
      <c r="K255" t="s">
        <v>54</v>
      </c>
      <c r="L255" s="23" t="str">
        <f>VLOOKUP(Tabla3[[#This Row],[PROVEEDOR]],'SAPROV (2)'!A:B,2,FALSE)</f>
        <v>12</v>
      </c>
      <c r="M255" t="str">
        <f>VLOOKUP(Tabla3[[#This Row],[SERVICIO]],'SAPROV (2)'!I:J,2,FALSE)</f>
        <v>SERV0038</v>
      </c>
      <c r="N255" t="s">
        <v>677</v>
      </c>
      <c r="P255">
        <f>VLOOKUP(Tabla3[[#This Row],[FECHA]],TASA[],2,FALSE)</f>
        <v>358.92</v>
      </c>
      <c r="Q255" s="32">
        <f t="shared" si="22"/>
        <v>-19.999999999999996</v>
      </c>
      <c r="R255" t="s">
        <v>95</v>
      </c>
    </row>
    <row r="256" spans="1:18" x14ac:dyDescent="0.25">
      <c r="A256" s="33">
        <v>46050</v>
      </c>
      <c r="B256" s="1" t="s">
        <v>1172</v>
      </c>
      <c r="C256" s="2" t="s">
        <v>1240</v>
      </c>
      <c r="D256" s="34">
        <v>-3832.26</v>
      </c>
      <c r="E256" t="s">
        <v>20</v>
      </c>
      <c r="F256" s="2" t="e">
        <f>VLOOKUP(Tabla3[[#This Row],[CONTABLE]],'SAPROV (2)'!L:M,2,FALSE)</f>
        <v>#N/A</v>
      </c>
      <c r="H256" t="s">
        <v>1274</v>
      </c>
      <c r="I256" s="2" t="str">
        <f>VLOOKUP(Tabla3[[#This Row],[Deposito]],'SAPROV (2)'!D:E,2,FALSE)</f>
        <v>02</v>
      </c>
      <c r="K256" t="s">
        <v>54</v>
      </c>
      <c r="L256" s="2" t="str">
        <f>VLOOKUP(Tabla3[[#This Row],[PROVEEDOR]],'SAPROV (2)'!A:B,2,FALSE)</f>
        <v>12</v>
      </c>
      <c r="M256" t="str">
        <f>VLOOKUP(Tabla3[[#This Row],[SERVICIO]],'SAPROV (2)'!I:J,2,FALSE)</f>
        <v>SERV0038</v>
      </c>
      <c r="N256" t="s">
        <v>677</v>
      </c>
      <c r="P256">
        <f>VLOOKUP(Tabla3[[#This Row],[FECHA]],TASA[],2,FALSE)</f>
        <v>361.49</v>
      </c>
      <c r="Q256" s="32">
        <f>D256/P256</f>
        <v>-10.60128910896567</v>
      </c>
      <c r="R256" t="s">
        <v>95</v>
      </c>
    </row>
    <row r="257" spans="1:18" x14ac:dyDescent="0.25">
      <c r="A257" s="33">
        <v>46050</v>
      </c>
      <c r="B257" s="1">
        <v>3272</v>
      </c>
      <c r="C257" s="2" t="s">
        <v>1241</v>
      </c>
      <c r="D257" s="34">
        <v>-7952.78</v>
      </c>
      <c r="E257" t="s">
        <v>20</v>
      </c>
      <c r="F257" s="2" t="e">
        <f>VLOOKUP(Tabla3[[#This Row],[CONTABLE]],'SAPROV (2)'!L:M,2,FALSE)</f>
        <v>#N/A</v>
      </c>
      <c r="H257" t="s">
        <v>1280</v>
      </c>
      <c r="I257" s="2" t="str">
        <f>VLOOKUP(Tabla3[[#This Row],[Deposito]],'SAPROV (2)'!D:E,2,FALSE)</f>
        <v>01</v>
      </c>
      <c r="K257" t="s">
        <v>54</v>
      </c>
      <c r="L257" s="23" t="str">
        <f>VLOOKUP(Tabla3[[#This Row],[PROVEEDOR]],'SAPROV (2)'!A:B,2,FALSE)</f>
        <v>12</v>
      </c>
      <c r="M257" t="str">
        <f>VLOOKUP(Tabla3[[#This Row],[SERVICIO]],'SAPROV (2)'!I:J,2,FALSE)</f>
        <v>SERV0038</v>
      </c>
      <c r="N257" t="s">
        <v>677</v>
      </c>
      <c r="P257">
        <f>VLOOKUP(Tabla3[[#This Row],[FECHA]],TASA[],2,FALSE)</f>
        <v>361.49</v>
      </c>
      <c r="Q257" s="32">
        <f>D257/P257</f>
        <v>-22</v>
      </c>
      <c r="R257" t="s">
        <v>95</v>
      </c>
    </row>
    <row r="258" spans="1:18" x14ac:dyDescent="0.25">
      <c r="A258" s="33">
        <v>46050</v>
      </c>
      <c r="B258" s="1">
        <v>1429</v>
      </c>
      <c r="C258" s="2" t="s">
        <v>1242</v>
      </c>
      <c r="D258" s="34">
        <v>-9038</v>
      </c>
      <c r="E258" t="s">
        <v>20</v>
      </c>
      <c r="F258" s="2" t="e">
        <f>VLOOKUP(Tabla3[[#This Row],[CONTABLE]],'SAPROV (2)'!L:M,2,FALSE)</f>
        <v>#N/A</v>
      </c>
      <c r="H258" t="s">
        <v>1281</v>
      </c>
      <c r="I258" s="2" t="str">
        <f>VLOOKUP(Tabla3[[#This Row],[Deposito]],'SAPROV (2)'!D:E,2,FALSE)</f>
        <v>07</v>
      </c>
      <c r="K258" t="s">
        <v>54</v>
      </c>
      <c r="L258" s="23" t="str">
        <f>VLOOKUP(Tabla3[[#This Row],[PROVEEDOR]],'SAPROV (2)'!A:B,2,FALSE)</f>
        <v>12</v>
      </c>
      <c r="M258" t="str">
        <f>VLOOKUP(Tabla3[[#This Row],[SERVICIO]],'SAPROV (2)'!I:J,2,FALSE)</f>
        <v>SERV0038</v>
      </c>
      <c r="N258" t="s">
        <v>677</v>
      </c>
      <c r="P258">
        <f>VLOOKUP(Tabla3[[#This Row],[FECHA]],TASA[],2,FALSE)</f>
        <v>361.49</v>
      </c>
      <c r="Q258" s="32">
        <f t="shared" ref="Q258:Q261" si="23">D258/P258</f>
        <v>-25.002074746189383</v>
      </c>
      <c r="R258" t="s">
        <v>95</v>
      </c>
    </row>
    <row r="259" spans="1:18" x14ac:dyDescent="0.25">
      <c r="A259" s="33">
        <v>46050</v>
      </c>
      <c r="B259" s="1" t="s">
        <v>1173</v>
      </c>
      <c r="C259" s="2" t="s">
        <v>1243</v>
      </c>
      <c r="D259" s="34">
        <v>-9218</v>
      </c>
      <c r="E259" t="s">
        <v>20</v>
      </c>
      <c r="F259" s="2" t="e">
        <f>VLOOKUP(Tabla3[[#This Row],[CONTABLE]],'SAPROV (2)'!L:M,2,FALSE)</f>
        <v>#N/A</v>
      </c>
      <c r="H259" t="s">
        <v>1280</v>
      </c>
      <c r="I259" s="2" t="str">
        <f>VLOOKUP(Tabla3[[#This Row],[Deposito]],'SAPROV (2)'!D:E,2,FALSE)</f>
        <v>01</v>
      </c>
      <c r="K259" t="s">
        <v>54</v>
      </c>
      <c r="L259" s="2" t="str">
        <f>VLOOKUP(Tabla3[[#This Row],[PROVEEDOR]],'SAPROV (2)'!A:B,2,FALSE)</f>
        <v>12</v>
      </c>
      <c r="M259" t="str">
        <f>VLOOKUP(Tabla3[[#This Row],[SERVICIO]],'SAPROV (2)'!I:J,2,FALSE)</f>
        <v>SERV0038</v>
      </c>
      <c r="N259" t="s">
        <v>677</v>
      </c>
      <c r="P259">
        <f>VLOOKUP(Tabla3[[#This Row],[FECHA]],TASA[],2,FALSE)</f>
        <v>361.49</v>
      </c>
      <c r="Q259" s="32">
        <f t="shared" si="23"/>
        <v>-25.500013831641262</v>
      </c>
      <c r="R259" t="s">
        <v>95</v>
      </c>
    </row>
    <row r="260" spans="1:18" x14ac:dyDescent="0.25">
      <c r="A260" s="33">
        <v>46051</v>
      </c>
      <c r="B260" s="1">
        <v>3203</v>
      </c>
      <c r="C260" s="2" t="s">
        <v>1244</v>
      </c>
      <c r="D260" s="34">
        <v>-5454.9</v>
      </c>
      <c r="E260" t="s">
        <v>20</v>
      </c>
      <c r="F260" s="2" t="e">
        <f>VLOOKUP(Tabla3[[#This Row],[CONTABLE]],'SAPROV (2)'!L:M,2,FALSE)</f>
        <v>#N/A</v>
      </c>
      <c r="H260" t="s">
        <v>1274</v>
      </c>
      <c r="I260" s="2" t="str">
        <f>VLOOKUP(Tabla3[[#This Row],[Deposito]],'SAPROV (2)'!D:E,2,FALSE)</f>
        <v>02</v>
      </c>
      <c r="K260" t="s">
        <v>54</v>
      </c>
      <c r="L260" s="23" t="str">
        <f>VLOOKUP(Tabla3[[#This Row],[PROVEEDOR]],'SAPROV (2)'!A:B,2,FALSE)</f>
        <v>12</v>
      </c>
      <c r="M260" t="str">
        <f>VLOOKUP(Tabla3[[#This Row],[SERVICIO]],'SAPROV (2)'!I:J,2,FALSE)</f>
        <v>SERV0038</v>
      </c>
      <c r="N260" t="s">
        <v>677</v>
      </c>
      <c r="P260">
        <f>VLOOKUP(Tabla3[[#This Row],[FECHA]],TASA[],2,FALSE)</f>
        <v>363.66</v>
      </c>
      <c r="Q260" s="32">
        <f t="shared" si="23"/>
        <v>-14.999999999999998</v>
      </c>
      <c r="R260" t="s">
        <v>95</v>
      </c>
    </row>
    <row r="261" spans="1:18" x14ac:dyDescent="0.25">
      <c r="A261" s="33">
        <v>46051</v>
      </c>
      <c r="B261" s="1">
        <v>4715</v>
      </c>
      <c r="C261" s="2" t="s">
        <v>1245</v>
      </c>
      <c r="D261" s="34">
        <v>-9091.5</v>
      </c>
      <c r="E261" t="s">
        <v>20</v>
      </c>
      <c r="F261" s="2" t="e">
        <f>VLOOKUP(Tabla3[[#This Row],[CONTABLE]],'SAPROV (2)'!L:M,2,FALSE)</f>
        <v>#N/A</v>
      </c>
      <c r="H261" t="s">
        <v>588</v>
      </c>
      <c r="I261" s="2" t="str">
        <f>VLOOKUP(Tabla3[[#This Row],[Deposito]],'SAPROV (2)'!D:E,2,FALSE)</f>
        <v>A01</v>
      </c>
      <c r="K261" t="s">
        <v>54</v>
      </c>
      <c r="L261" s="23" t="str">
        <f>VLOOKUP(Tabla3[[#This Row],[PROVEEDOR]],'SAPROV (2)'!A:B,2,FALSE)</f>
        <v>12</v>
      </c>
      <c r="M261" t="str">
        <f>VLOOKUP(Tabla3[[#This Row],[SERVICIO]],'SAPROV (2)'!I:J,2,FALSE)</f>
        <v>SERV0038</v>
      </c>
      <c r="N261" t="s">
        <v>677</v>
      </c>
      <c r="P261">
        <f>VLOOKUP(Tabla3[[#This Row],[FECHA]],TASA[],2,FALSE)</f>
        <v>363.66</v>
      </c>
      <c r="Q261" s="32">
        <f t="shared" si="23"/>
        <v>-25</v>
      </c>
      <c r="R261" t="s">
        <v>95</v>
      </c>
    </row>
    <row r="262" spans="1:18" x14ac:dyDescent="0.25">
      <c r="A262" s="33">
        <v>46052</v>
      </c>
      <c r="B262" s="1">
        <v>9842</v>
      </c>
      <c r="C262" s="2" t="s">
        <v>1246</v>
      </c>
      <c r="D262" s="34">
        <v>-12856</v>
      </c>
      <c r="E262" t="s">
        <v>20</v>
      </c>
      <c r="F262" s="2" t="e">
        <f>VLOOKUP(Tabla3[[#This Row],[CONTABLE]],'SAPROV (2)'!L:M,2,FALSE)</f>
        <v>#N/A</v>
      </c>
      <c r="H262" t="s">
        <v>1281</v>
      </c>
      <c r="I262" s="2" t="str">
        <f>VLOOKUP(Tabla3[[#This Row],[Deposito]],'SAPROV (2)'!D:E,2,FALSE)</f>
        <v>07</v>
      </c>
      <c r="K262" t="s">
        <v>54</v>
      </c>
      <c r="L262" s="2" t="str">
        <f>VLOOKUP(Tabla3[[#This Row],[PROVEEDOR]],'SAPROV (2)'!A:B,2,FALSE)</f>
        <v>12</v>
      </c>
      <c r="M262" t="str">
        <f>VLOOKUP(Tabla3[[#This Row],[SERVICIO]],'SAPROV (2)'!I:J,2,FALSE)</f>
        <v>SERV0038</v>
      </c>
      <c r="N262" t="s">
        <v>677</v>
      </c>
      <c r="P262">
        <f>VLOOKUP(Tabla3[[#This Row],[FECHA]],TASA[],2,FALSE)</f>
        <v>367.31</v>
      </c>
      <c r="Q262" s="32">
        <f t="shared" ref="Q262:Q263" si="24">D262/P262</f>
        <v>-35.000408374397651</v>
      </c>
      <c r="R262" t="s">
        <v>95</v>
      </c>
    </row>
    <row r="263" spans="1:18" x14ac:dyDescent="0.25">
      <c r="A263" s="33">
        <v>46052</v>
      </c>
      <c r="B263" s="1">
        <v>7287</v>
      </c>
      <c r="C263" s="2" t="s">
        <v>1247</v>
      </c>
      <c r="D263" s="34">
        <v>-22039</v>
      </c>
      <c r="E263" t="s">
        <v>20</v>
      </c>
      <c r="F263" s="2" t="e">
        <f>VLOOKUP(Tabla3[[#This Row],[CONTABLE]],'SAPROV (2)'!L:M,2,FALSE)</f>
        <v>#N/A</v>
      </c>
      <c r="H263" t="s">
        <v>1281</v>
      </c>
      <c r="I263" s="2" t="str">
        <f>VLOOKUP(Tabla3[[#This Row],[Deposito]],'SAPROV (2)'!D:E,2,FALSE)</f>
        <v>07</v>
      </c>
      <c r="K263" t="s">
        <v>54</v>
      </c>
      <c r="L263" s="23" t="str">
        <f>VLOOKUP(Tabla3[[#This Row],[PROVEEDOR]],'SAPROV (2)'!A:B,2,FALSE)</f>
        <v>12</v>
      </c>
      <c r="M263" t="str">
        <f>VLOOKUP(Tabla3[[#This Row],[SERVICIO]],'SAPROV (2)'!I:J,2,FALSE)</f>
        <v>SERV0038</v>
      </c>
      <c r="N263" t="s">
        <v>677</v>
      </c>
      <c r="P263">
        <f>VLOOKUP(Tabla3[[#This Row],[FECHA]],TASA[],2,FALSE)</f>
        <v>367.31</v>
      </c>
      <c r="Q263" s="32">
        <f t="shared" si="24"/>
        <v>-60.001088998393726</v>
      </c>
      <c r="R263" t="s">
        <v>95</v>
      </c>
    </row>
    <row r="264" spans="1:18" x14ac:dyDescent="0.25">
      <c r="A264" s="33">
        <v>46052</v>
      </c>
      <c r="B264" s="1">
        <v>9062</v>
      </c>
      <c r="C264" s="2" t="s">
        <v>1248</v>
      </c>
      <c r="D264" s="34">
        <v>-858.94</v>
      </c>
      <c r="E264" t="s">
        <v>20</v>
      </c>
      <c r="F264" s="2" t="e">
        <f>VLOOKUP(Tabla3[[#This Row],[CONTABLE]],'SAPROV (2)'!L:M,2,FALSE)</f>
        <v>#N/A</v>
      </c>
      <c r="H264" t="s">
        <v>1281</v>
      </c>
      <c r="I264" s="2" t="str">
        <f>VLOOKUP(Tabla3[[#This Row],[Deposito]],'SAPROV (2)'!D:E,2,FALSE)</f>
        <v>07</v>
      </c>
      <c r="K264" s="2" t="s">
        <v>106</v>
      </c>
      <c r="L264" s="23" t="str">
        <f>VLOOKUP(Tabla3[[#This Row],[PROVEEDOR]],'SAPROV (2)'!A:B,2,FALSE)</f>
        <v>39</v>
      </c>
      <c r="M264" t="str">
        <f>VLOOKUP(Tabla3[[#This Row],[SERVICIO]],'SAPROV (2)'!I:J,2,FALSE)</f>
        <v>SERV0049</v>
      </c>
      <c r="N264" t="s">
        <v>655</v>
      </c>
      <c r="P264">
        <f>VLOOKUP(Tabla3[[#This Row],[FECHA]],TASA[],2,FALSE)</f>
        <v>367.31</v>
      </c>
      <c r="Q264" s="32">
        <f t="shared" ref="Q264:Q270" si="25">D264/P264</f>
        <v>-2.3384607007704665</v>
      </c>
      <c r="R264" t="s">
        <v>95</v>
      </c>
    </row>
    <row r="265" spans="1:18" x14ac:dyDescent="0.25">
      <c r="A265" s="33">
        <v>46053</v>
      </c>
      <c r="B265" s="1">
        <v>1200</v>
      </c>
      <c r="C265" s="2" t="s">
        <v>1249</v>
      </c>
      <c r="D265" s="34">
        <v>-18365.349999999999</v>
      </c>
      <c r="E265" t="s">
        <v>20</v>
      </c>
      <c r="F265" s="2" t="e">
        <f>VLOOKUP(Tabla3[[#This Row],[CONTABLE]],'SAPROV (2)'!L:M,2,FALSE)</f>
        <v>#N/A</v>
      </c>
      <c r="H265" t="s">
        <v>1281</v>
      </c>
      <c r="I265" s="2" t="str">
        <f>VLOOKUP(Tabla3[[#This Row],[Deposito]],'SAPROV (2)'!D:E,2,FALSE)</f>
        <v>07</v>
      </c>
      <c r="K265" s="2" t="s">
        <v>69</v>
      </c>
      <c r="L265" s="2" t="str">
        <f>VLOOKUP(Tabla3[[#This Row],[PROVEEDOR]],'SAPROV (2)'!A:B,2,FALSE)</f>
        <v>20</v>
      </c>
      <c r="M265" t="str">
        <f>VLOOKUP(Tabla3[[#This Row],[SERVICIO]],'SAPROV (2)'!I:J,2,FALSE)</f>
        <v>SERV0058E</v>
      </c>
      <c r="N265" t="s">
        <v>830</v>
      </c>
      <c r="P265">
        <f>VLOOKUP(Tabla3[[#This Row],[FECHA]],TASA[],2,FALSE)</f>
        <v>370.25</v>
      </c>
      <c r="Q265" s="32">
        <f t="shared" si="25"/>
        <v>-49.602565833896016</v>
      </c>
      <c r="R265" t="s">
        <v>95</v>
      </c>
    </row>
    <row r="266" spans="1:18" x14ac:dyDescent="0.25">
      <c r="A266" s="33">
        <v>46023</v>
      </c>
      <c r="B266" s="1">
        <v>120200011331</v>
      </c>
      <c r="C266" s="2" t="s">
        <v>1250</v>
      </c>
      <c r="D266" s="34">
        <v>-8</v>
      </c>
      <c r="E266" t="s">
        <v>20</v>
      </c>
      <c r="F266" s="2" t="e">
        <f>VLOOKUP(Tabla3[[#This Row],[CONTABLE]],'SAPROV (2)'!L:M,2,FALSE)</f>
        <v>#N/A</v>
      </c>
      <c r="H266" t="s">
        <v>588</v>
      </c>
      <c r="I266" s="2" t="str">
        <f>VLOOKUP(Tabla3[[#This Row],[Deposito]],'SAPROV (2)'!D:E,2,FALSE)</f>
        <v>A01</v>
      </c>
      <c r="K266" s="23" t="s">
        <v>23</v>
      </c>
      <c r="L266" s="23" t="str">
        <f>VLOOKUP(Tabla3[[#This Row],[PROVEEDOR]],'SAPROV (2)'!A:B,2,FALSE)</f>
        <v>04</v>
      </c>
      <c r="M266" t="str">
        <f>VLOOKUP(Tabla3[[#This Row],[SERVICIO]],'SAPROV (2)'!I:J,2,FALSE)</f>
        <v>SERV0060</v>
      </c>
      <c r="N266" t="s">
        <v>611</v>
      </c>
      <c r="P266">
        <f>VLOOKUP(Tabla3[[#This Row],[FECHA]],TASA[],2,FALSE)</f>
        <v>301.37</v>
      </c>
      <c r="Q266" s="4">
        <f t="shared" si="25"/>
        <v>-2.6545442479344327E-2</v>
      </c>
      <c r="R266" t="s">
        <v>1253</v>
      </c>
    </row>
    <row r="267" spans="1:18" x14ac:dyDescent="0.25">
      <c r="A267" s="33">
        <v>46027</v>
      </c>
      <c r="B267" s="1">
        <v>676213121001</v>
      </c>
      <c r="C267" s="2" t="s">
        <v>1251</v>
      </c>
      <c r="D267" s="34">
        <v>-2500</v>
      </c>
      <c r="E267" t="s">
        <v>20</v>
      </c>
      <c r="F267" s="2" t="e">
        <f>VLOOKUP(Tabla3[[#This Row],[CONTABLE]],'SAPROV (2)'!L:M,2,FALSE)</f>
        <v>#N/A</v>
      </c>
      <c r="H267" t="s">
        <v>588</v>
      </c>
      <c r="I267" s="2" t="str">
        <f>VLOOKUP(Tabla3[[#This Row],[Deposito]],'SAPROV (2)'!D:E,2,FALSE)</f>
        <v>A01</v>
      </c>
      <c r="K267" s="23" t="s">
        <v>23</v>
      </c>
      <c r="L267" s="23" t="str">
        <f>VLOOKUP(Tabla3[[#This Row],[PROVEEDOR]],'SAPROV (2)'!A:B,2,FALSE)</f>
        <v>04</v>
      </c>
      <c r="M267" t="str">
        <f>VLOOKUP(Tabla3[[#This Row],[SERVICIO]],'SAPROV (2)'!I:J,2,FALSE)</f>
        <v>SERV0060</v>
      </c>
      <c r="N267" t="s">
        <v>611</v>
      </c>
      <c r="P267">
        <f>VLOOKUP(Tabla3[[#This Row],[FECHA]],TASA[],2,FALSE)</f>
        <v>304.68</v>
      </c>
      <c r="Q267" s="4">
        <f t="shared" si="25"/>
        <v>-8.2053301824865432</v>
      </c>
      <c r="R267" t="s">
        <v>1253</v>
      </c>
    </row>
    <row r="268" spans="1:18" x14ac:dyDescent="0.25">
      <c r="A268" s="33">
        <v>46027</v>
      </c>
      <c r="B268" s="1">
        <v>676213857005</v>
      </c>
      <c r="C268" s="2" t="s">
        <v>1251</v>
      </c>
      <c r="D268" s="34">
        <v>-2500</v>
      </c>
      <c r="E268" t="s">
        <v>20</v>
      </c>
      <c r="F268" s="2" t="e">
        <f>VLOOKUP(Tabla3[[#This Row],[CONTABLE]],'SAPROV (2)'!L:M,2,FALSE)</f>
        <v>#N/A</v>
      </c>
      <c r="H268" t="s">
        <v>588</v>
      </c>
      <c r="I268" s="2" t="str">
        <f>VLOOKUP(Tabla3[[#This Row],[Deposito]],'SAPROV (2)'!D:E,2,FALSE)</f>
        <v>A01</v>
      </c>
      <c r="K268" s="23" t="s">
        <v>23</v>
      </c>
      <c r="L268" s="2" t="str">
        <f>VLOOKUP(Tabla3[[#This Row],[PROVEEDOR]],'SAPROV (2)'!A:B,2,FALSE)</f>
        <v>04</v>
      </c>
      <c r="M268" t="str">
        <f>VLOOKUP(Tabla3[[#This Row],[SERVICIO]],'SAPROV (2)'!I:J,2,FALSE)</f>
        <v>SERV0060</v>
      </c>
      <c r="N268" t="s">
        <v>611</v>
      </c>
      <c r="P268">
        <f>VLOOKUP(Tabla3[[#This Row],[FECHA]],TASA[],2,FALSE)</f>
        <v>304.68</v>
      </c>
      <c r="Q268" s="4">
        <f t="shared" si="25"/>
        <v>-8.2053301824865432</v>
      </c>
      <c r="R268" t="s">
        <v>1253</v>
      </c>
    </row>
    <row r="269" spans="1:18" x14ac:dyDescent="0.25">
      <c r="A269" s="33">
        <v>46027</v>
      </c>
      <c r="B269" s="1">
        <v>676217619025</v>
      </c>
      <c r="C269" s="2" t="s">
        <v>1251</v>
      </c>
      <c r="D269" s="34">
        <v>-2500</v>
      </c>
      <c r="E269" t="s">
        <v>20</v>
      </c>
      <c r="F269" s="2" t="e">
        <f>VLOOKUP(Tabla3[[#This Row],[CONTABLE]],'SAPROV (2)'!L:M,2,FALSE)</f>
        <v>#N/A</v>
      </c>
      <c r="H269" t="s">
        <v>588</v>
      </c>
      <c r="I269" s="2" t="str">
        <f>VLOOKUP(Tabla3[[#This Row],[Deposito]],'SAPROV (2)'!D:E,2,FALSE)</f>
        <v>A01</v>
      </c>
      <c r="K269" s="23" t="s">
        <v>23</v>
      </c>
      <c r="L269" s="23" t="str">
        <f>VLOOKUP(Tabla3[[#This Row],[PROVEEDOR]],'SAPROV (2)'!A:B,2,FALSE)</f>
        <v>04</v>
      </c>
      <c r="M269" t="str">
        <f>VLOOKUP(Tabla3[[#This Row],[SERVICIO]],'SAPROV (2)'!I:J,2,FALSE)</f>
        <v>SERV0060</v>
      </c>
      <c r="N269" t="s">
        <v>611</v>
      </c>
      <c r="P269">
        <f>VLOOKUP(Tabla3[[#This Row],[FECHA]],TASA[],2,FALSE)</f>
        <v>304.68</v>
      </c>
      <c r="Q269" s="4">
        <f t="shared" si="25"/>
        <v>-8.2053301824865432</v>
      </c>
      <c r="R269" t="s">
        <v>1253</v>
      </c>
    </row>
    <row r="270" spans="1:18" x14ac:dyDescent="0.25">
      <c r="A270" s="33">
        <v>46027</v>
      </c>
      <c r="B270" s="1">
        <v>676214399008</v>
      </c>
      <c r="C270" s="2" t="s">
        <v>1251</v>
      </c>
      <c r="D270" s="34">
        <v>-2500</v>
      </c>
      <c r="E270" t="s">
        <v>20</v>
      </c>
      <c r="F270" s="2" t="e">
        <f>VLOOKUP(Tabla3[[#This Row],[CONTABLE]],'SAPROV (2)'!L:M,2,FALSE)</f>
        <v>#N/A</v>
      </c>
      <c r="H270" t="s">
        <v>588</v>
      </c>
      <c r="I270" s="2" t="str">
        <f>VLOOKUP(Tabla3[[#This Row],[Deposito]],'SAPROV (2)'!D:E,2,FALSE)</f>
        <v>A01</v>
      </c>
      <c r="K270" s="23" t="s">
        <v>23</v>
      </c>
      <c r="L270" s="23" t="str">
        <f>VLOOKUP(Tabla3[[#This Row],[PROVEEDOR]],'SAPROV (2)'!A:B,2,FALSE)</f>
        <v>04</v>
      </c>
      <c r="M270" t="str">
        <f>VLOOKUP(Tabla3[[#This Row],[SERVICIO]],'SAPROV (2)'!I:J,2,FALSE)</f>
        <v>SERV0060</v>
      </c>
      <c r="N270" t="s">
        <v>611</v>
      </c>
      <c r="P270">
        <f>VLOOKUP(Tabla3[[#This Row],[FECHA]],TASA[],2,FALSE)</f>
        <v>304.68</v>
      </c>
      <c r="Q270" s="4">
        <f t="shared" si="25"/>
        <v>-8.2053301824865432</v>
      </c>
      <c r="R270" t="s">
        <v>1253</v>
      </c>
    </row>
    <row r="271" spans="1:18" x14ac:dyDescent="0.25">
      <c r="A271" s="33">
        <v>46027</v>
      </c>
      <c r="B271" s="1">
        <v>676217432024</v>
      </c>
      <c r="C271" s="2" t="s">
        <v>1251</v>
      </c>
      <c r="D271" s="34">
        <v>-2500</v>
      </c>
      <c r="E271" t="s">
        <v>20</v>
      </c>
      <c r="F271" s="2" t="e">
        <f>VLOOKUP(Tabla3[[#This Row],[CONTABLE]],'SAPROV (2)'!L:M,2,FALSE)</f>
        <v>#N/A</v>
      </c>
      <c r="H271" t="s">
        <v>588</v>
      </c>
      <c r="I271" s="2" t="str">
        <f>VLOOKUP(Tabla3[[#This Row],[Deposito]],'SAPROV (2)'!D:E,2,FALSE)</f>
        <v>A01</v>
      </c>
      <c r="K271" s="23" t="s">
        <v>23</v>
      </c>
      <c r="L271" s="2" t="str">
        <f>VLOOKUP(Tabla3[[#This Row],[PROVEEDOR]],'SAPROV (2)'!A:B,2,FALSE)</f>
        <v>04</v>
      </c>
      <c r="M271" t="str">
        <f>VLOOKUP(Tabla3[[#This Row],[SERVICIO]],'SAPROV (2)'!I:J,2,FALSE)</f>
        <v>SERV0060</v>
      </c>
      <c r="N271" t="s">
        <v>611</v>
      </c>
      <c r="P271">
        <f>VLOOKUP(Tabla3[[#This Row],[FECHA]],TASA[],2,FALSE)</f>
        <v>304.68</v>
      </c>
      <c r="Q271" s="4">
        <f t="shared" ref="Q271:Q272" si="26">D271/P271</f>
        <v>-8.2053301824865432</v>
      </c>
      <c r="R271" t="s">
        <v>1253</v>
      </c>
    </row>
    <row r="272" spans="1:18" x14ac:dyDescent="0.25">
      <c r="A272" s="33">
        <v>46027</v>
      </c>
      <c r="B272" s="1">
        <v>676216462019</v>
      </c>
      <c r="C272" s="2" t="s">
        <v>1251</v>
      </c>
      <c r="D272" s="34">
        <v>-2500</v>
      </c>
      <c r="E272" t="s">
        <v>20</v>
      </c>
      <c r="F272" s="2" t="e">
        <f>VLOOKUP(Tabla3[[#This Row],[CONTABLE]],'SAPROV (2)'!L:M,2,FALSE)</f>
        <v>#N/A</v>
      </c>
      <c r="H272" t="s">
        <v>588</v>
      </c>
      <c r="I272" s="2" t="str">
        <f>VLOOKUP(Tabla3[[#This Row],[Deposito]],'SAPROV (2)'!D:E,2,FALSE)</f>
        <v>A01</v>
      </c>
      <c r="K272" s="23" t="s">
        <v>23</v>
      </c>
      <c r="L272" s="23" t="str">
        <f>VLOOKUP(Tabla3[[#This Row],[PROVEEDOR]],'SAPROV (2)'!A:B,2,FALSE)</f>
        <v>04</v>
      </c>
      <c r="M272" t="str">
        <f>VLOOKUP(Tabla3[[#This Row],[SERVICIO]],'SAPROV (2)'!I:J,2,FALSE)</f>
        <v>SERV0060</v>
      </c>
      <c r="N272" t="s">
        <v>611</v>
      </c>
      <c r="P272">
        <f>VLOOKUP(Tabla3[[#This Row],[FECHA]],TASA[],2,FALSE)</f>
        <v>304.68</v>
      </c>
      <c r="Q272" s="4">
        <f t="shared" si="26"/>
        <v>-8.2053301824865432</v>
      </c>
      <c r="R272" t="s">
        <v>1253</v>
      </c>
    </row>
    <row r="273" spans="1:18" x14ac:dyDescent="0.25">
      <c r="A273" s="33">
        <v>46027</v>
      </c>
      <c r="B273" s="1">
        <v>676216800021</v>
      </c>
      <c r="C273" s="2" t="s">
        <v>1251</v>
      </c>
      <c r="D273" s="34">
        <v>-2500</v>
      </c>
      <c r="E273" t="s">
        <v>20</v>
      </c>
      <c r="F273" s="2" t="e">
        <f>VLOOKUP(Tabla3[[#This Row],[CONTABLE]],'SAPROV (2)'!L:M,2,FALSE)</f>
        <v>#N/A</v>
      </c>
      <c r="H273" t="s">
        <v>588</v>
      </c>
      <c r="I273" s="2" t="str">
        <f>VLOOKUP(Tabla3[[#This Row],[Deposito]],'SAPROV (2)'!D:E,2,FALSE)</f>
        <v>A01</v>
      </c>
      <c r="K273" s="23" t="s">
        <v>23</v>
      </c>
      <c r="L273" s="23" t="str">
        <f>VLOOKUP(Tabla3[[#This Row],[PROVEEDOR]],'SAPROV (2)'!A:B,2,FALSE)</f>
        <v>04</v>
      </c>
      <c r="M273" t="str">
        <f>VLOOKUP(Tabla3[[#This Row],[SERVICIO]],'SAPROV (2)'!I:J,2,FALSE)</f>
        <v>SERV0060</v>
      </c>
      <c r="N273" t="s">
        <v>611</v>
      </c>
      <c r="P273">
        <f>VLOOKUP(Tabla3[[#This Row],[FECHA]],TASA[],2,FALSE)</f>
        <v>304.68</v>
      </c>
      <c r="Q273" s="4">
        <f>D273/P273</f>
        <v>-8.2053301824865432</v>
      </c>
      <c r="R273" t="s">
        <v>1253</v>
      </c>
    </row>
    <row r="274" spans="1:18" x14ac:dyDescent="0.25">
      <c r="A274" s="33">
        <v>46027</v>
      </c>
      <c r="B274" s="1">
        <v>676215110012</v>
      </c>
      <c r="C274" s="2" t="s">
        <v>1251</v>
      </c>
      <c r="D274" s="34">
        <v>-2500</v>
      </c>
      <c r="E274" t="s">
        <v>20</v>
      </c>
      <c r="F274" s="2" t="e">
        <f>VLOOKUP(Tabla3[[#This Row],[CONTABLE]],'SAPROV (2)'!L:M,2,FALSE)</f>
        <v>#N/A</v>
      </c>
      <c r="H274" t="s">
        <v>588</v>
      </c>
      <c r="I274" s="2" t="str">
        <f>VLOOKUP(Tabla3[[#This Row],[Deposito]],'SAPROV (2)'!D:E,2,FALSE)</f>
        <v>A01</v>
      </c>
      <c r="K274" s="23" t="s">
        <v>23</v>
      </c>
      <c r="L274" s="2" t="str">
        <f>VLOOKUP(Tabla3[[#This Row],[PROVEEDOR]],'SAPROV (2)'!A:B,2,FALSE)</f>
        <v>04</v>
      </c>
      <c r="M274" t="str">
        <f>VLOOKUP(Tabla3[[#This Row],[SERVICIO]],'SAPROV (2)'!I:J,2,FALSE)</f>
        <v>SERV0060</v>
      </c>
      <c r="N274" t="s">
        <v>611</v>
      </c>
      <c r="P274">
        <f>VLOOKUP(Tabla3[[#This Row],[FECHA]],TASA[],2,FALSE)</f>
        <v>304.68</v>
      </c>
      <c r="Q274" s="4">
        <f>D274/P274</f>
        <v>-8.2053301824865432</v>
      </c>
      <c r="R274" t="s">
        <v>1253</v>
      </c>
    </row>
    <row r="275" spans="1:18" x14ac:dyDescent="0.25">
      <c r="A275" s="33">
        <v>46027</v>
      </c>
      <c r="B275" s="1">
        <v>676216290018</v>
      </c>
      <c r="C275" s="2" t="s">
        <v>1251</v>
      </c>
      <c r="D275" s="34">
        <v>-2500</v>
      </c>
      <c r="E275" t="s">
        <v>20</v>
      </c>
      <c r="F275" s="2" t="e">
        <f>VLOOKUP(Tabla3[[#This Row],[CONTABLE]],'SAPROV (2)'!L:M,2,FALSE)</f>
        <v>#N/A</v>
      </c>
      <c r="H275" t="s">
        <v>588</v>
      </c>
      <c r="I275" s="2" t="str">
        <f>VLOOKUP(Tabla3[[#This Row],[Deposito]],'SAPROV (2)'!D:E,2,FALSE)</f>
        <v>A01</v>
      </c>
      <c r="K275" s="23" t="s">
        <v>23</v>
      </c>
      <c r="L275" s="23" t="str">
        <f>VLOOKUP(Tabla3[[#This Row],[PROVEEDOR]],'SAPROV (2)'!A:B,2,FALSE)</f>
        <v>04</v>
      </c>
      <c r="M275" t="str">
        <f>VLOOKUP(Tabla3[[#This Row],[SERVICIO]],'SAPROV (2)'!I:J,2,FALSE)</f>
        <v>SERV0060</v>
      </c>
      <c r="N275" t="s">
        <v>611</v>
      </c>
      <c r="P275">
        <f>VLOOKUP(Tabla3[[#This Row],[FECHA]],TASA[],2,FALSE)</f>
        <v>304.68</v>
      </c>
      <c r="Q275" s="4">
        <f>D275/P275</f>
        <v>-8.2053301824865432</v>
      </c>
      <c r="R275" t="s">
        <v>1253</v>
      </c>
    </row>
    <row r="276" spans="1:18" x14ac:dyDescent="0.25">
      <c r="A276" s="33">
        <v>46027</v>
      </c>
      <c r="B276" s="1">
        <v>676216088017</v>
      </c>
      <c r="C276" s="2" t="s">
        <v>1251</v>
      </c>
      <c r="D276" s="34">
        <v>-2500</v>
      </c>
      <c r="E276" t="s">
        <v>20</v>
      </c>
      <c r="F276" s="2" t="e">
        <f>VLOOKUP(Tabla3[[#This Row],[CONTABLE]],'SAPROV (2)'!L:M,2,FALSE)</f>
        <v>#N/A</v>
      </c>
      <c r="H276" t="s">
        <v>588</v>
      </c>
      <c r="I276" s="2" t="str">
        <f>VLOOKUP(Tabla3[[#This Row],[Deposito]],'SAPROV (2)'!D:E,2,FALSE)</f>
        <v>A01</v>
      </c>
      <c r="K276" s="23" t="s">
        <v>23</v>
      </c>
      <c r="L276" s="23" t="str">
        <f>VLOOKUP(Tabla3[[#This Row],[PROVEEDOR]],'SAPROV (2)'!A:B,2,FALSE)</f>
        <v>04</v>
      </c>
      <c r="M276" t="str">
        <f>VLOOKUP(Tabla3[[#This Row],[SERVICIO]],'SAPROV (2)'!I:J,2,FALSE)</f>
        <v>SERV0060</v>
      </c>
      <c r="N276" t="s">
        <v>611</v>
      </c>
      <c r="P276">
        <f>VLOOKUP(Tabla3[[#This Row],[FECHA]],TASA[],2,FALSE)</f>
        <v>304.68</v>
      </c>
      <c r="Q276" s="4">
        <f t="shared" ref="Q276:Q277" si="27">D276/P276</f>
        <v>-8.2053301824865432</v>
      </c>
      <c r="R276" t="s">
        <v>1253</v>
      </c>
    </row>
    <row r="277" spans="1:18" x14ac:dyDescent="0.25">
      <c r="A277" s="33">
        <v>46027</v>
      </c>
      <c r="B277" s="1">
        <v>676217221023</v>
      </c>
      <c r="C277" s="2" t="s">
        <v>1251</v>
      </c>
      <c r="D277" s="34">
        <v>-2500</v>
      </c>
      <c r="E277" t="s">
        <v>20</v>
      </c>
      <c r="F277" s="2" t="e">
        <f>VLOOKUP(Tabla3[[#This Row],[CONTABLE]],'SAPROV (2)'!L:M,2,FALSE)</f>
        <v>#N/A</v>
      </c>
      <c r="H277" t="s">
        <v>588</v>
      </c>
      <c r="I277" s="2" t="str">
        <f>VLOOKUP(Tabla3[[#This Row],[Deposito]],'SAPROV (2)'!D:E,2,FALSE)</f>
        <v>A01</v>
      </c>
      <c r="K277" s="23" t="s">
        <v>23</v>
      </c>
      <c r="L277" s="2" t="str">
        <f>VLOOKUP(Tabla3[[#This Row],[PROVEEDOR]],'SAPROV (2)'!A:B,2,FALSE)</f>
        <v>04</v>
      </c>
      <c r="M277" t="str">
        <f>VLOOKUP(Tabla3[[#This Row],[SERVICIO]],'SAPROV (2)'!I:J,2,FALSE)</f>
        <v>SERV0060</v>
      </c>
      <c r="N277" t="s">
        <v>611</v>
      </c>
      <c r="P277">
        <f>VLOOKUP(Tabla3[[#This Row],[FECHA]],TASA[],2,FALSE)</f>
        <v>304.68</v>
      </c>
      <c r="Q277" s="4">
        <f t="shared" si="27"/>
        <v>-8.2053301824865432</v>
      </c>
      <c r="R277" t="s">
        <v>1253</v>
      </c>
    </row>
    <row r="278" spans="1:18" x14ac:dyDescent="0.25">
      <c r="A278" s="33">
        <v>46027</v>
      </c>
      <c r="B278" s="1">
        <v>676213497003</v>
      </c>
      <c r="C278" s="2" t="s">
        <v>1251</v>
      </c>
      <c r="D278" s="34">
        <v>-2500</v>
      </c>
      <c r="E278" t="s">
        <v>20</v>
      </c>
      <c r="F278" s="2" t="e">
        <f>VLOOKUP(Tabla3[[#This Row],[CONTABLE]],'SAPROV (2)'!L:M,2,FALSE)</f>
        <v>#N/A</v>
      </c>
      <c r="H278" t="s">
        <v>588</v>
      </c>
      <c r="I278" s="2" t="str">
        <f>VLOOKUP(Tabla3[[#This Row],[Deposito]],'SAPROV (2)'!D:E,2,FALSE)</f>
        <v>A01</v>
      </c>
      <c r="K278" s="23" t="s">
        <v>23</v>
      </c>
      <c r="L278" s="23" t="str">
        <f>VLOOKUP(Tabla3[[#This Row],[PROVEEDOR]],'SAPROV (2)'!A:B,2,FALSE)</f>
        <v>04</v>
      </c>
      <c r="M278" t="str">
        <f>VLOOKUP(Tabla3[[#This Row],[SERVICIO]],'SAPROV (2)'!I:J,2,FALSE)</f>
        <v>SERV0060</v>
      </c>
      <c r="N278" t="s">
        <v>611</v>
      </c>
      <c r="P278">
        <f>VLOOKUP(Tabla3[[#This Row],[FECHA]],TASA[],2,FALSE)</f>
        <v>304.68</v>
      </c>
      <c r="Q278" s="4">
        <f>D278/P278</f>
        <v>-8.2053301824865432</v>
      </c>
      <c r="R278" t="s">
        <v>1253</v>
      </c>
    </row>
    <row r="279" spans="1:18" x14ac:dyDescent="0.25">
      <c r="A279" s="33">
        <v>46027</v>
      </c>
      <c r="B279" s="1">
        <v>676213300002</v>
      </c>
      <c r="C279" s="2" t="s">
        <v>1251</v>
      </c>
      <c r="D279" s="34">
        <v>-2500</v>
      </c>
      <c r="E279" t="s">
        <v>20</v>
      </c>
      <c r="F279" s="2" t="e">
        <f>VLOOKUP(Tabla3[[#This Row],[CONTABLE]],'SAPROV (2)'!L:M,2,FALSE)</f>
        <v>#N/A</v>
      </c>
      <c r="H279" t="s">
        <v>588</v>
      </c>
      <c r="I279" s="2" t="str">
        <f>VLOOKUP(Tabla3[[#This Row],[Deposito]],'SAPROV (2)'!D:E,2,FALSE)</f>
        <v>A01</v>
      </c>
      <c r="K279" s="23" t="s">
        <v>23</v>
      </c>
      <c r="L279" s="23" t="str">
        <f>VLOOKUP(Tabla3[[#This Row],[PROVEEDOR]],'SAPROV (2)'!A:B,2,FALSE)</f>
        <v>04</v>
      </c>
      <c r="M279" t="str">
        <f>VLOOKUP(Tabla3[[#This Row],[SERVICIO]],'SAPROV (2)'!I:J,2,FALSE)</f>
        <v>SERV0060</v>
      </c>
      <c r="N279" t="s">
        <v>611</v>
      </c>
      <c r="P279">
        <f>VLOOKUP(Tabla3[[#This Row],[FECHA]],TASA[],2,FALSE)</f>
        <v>304.68</v>
      </c>
      <c r="Q279" s="4">
        <f t="shared" ref="Q279:Q280" si="28">D279/P279</f>
        <v>-8.2053301824865432</v>
      </c>
      <c r="R279" t="s">
        <v>1253</v>
      </c>
    </row>
    <row r="280" spans="1:18" x14ac:dyDescent="0.25">
      <c r="A280" s="33">
        <v>46027</v>
      </c>
      <c r="B280" s="1">
        <v>676214600009</v>
      </c>
      <c r="C280" s="2" t="s">
        <v>1251</v>
      </c>
      <c r="D280" s="34">
        <v>-2500</v>
      </c>
      <c r="E280" t="s">
        <v>20</v>
      </c>
      <c r="F280" s="2" t="e">
        <f>VLOOKUP(Tabla3[[#This Row],[CONTABLE]],'SAPROV (2)'!L:M,2,FALSE)</f>
        <v>#N/A</v>
      </c>
      <c r="H280" t="s">
        <v>588</v>
      </c>
      <c r="I280" s="2" t="str">
        <f>VLOOKUP(Tabla3[[#This Row],[Deposito]],'SAPROV (2)'!D:E,2,FALSE)</f>
        <v>A01</v>
      </c>
      <c r="K280" s="23" t="s">
        <v>23</v>
      </c>
      <c r="L280" s="2" t="str">
        <f>VLOOKUP(Tabla3[[#This Row],[PROVEEDOR]],'SAPROV (2)'!A:B,2,FALSE)</f>
        <v>04</v>
      </c>
      <c r="M280" t="str">
        <f>VLOOKUP(Tabla3[[#This Row],[SERVICIO]],'SAPROV (2)'!I:J,2,FALSE)</f>
        <v>SERV0060</v>
      </c>
      <c r="N280" t="s">
        <v>611</v>
      </c>
      <c r="P280">
        <f>VLOOKUP(Tabla3[[#This Row],[FECHA]],TASA[],2,FALSE)</f>
        <v>304.68</v>
      </c>
      <c r="Q280" s="4">
        <f t="shared" si="28"/>
        <v>-8.2053301824865432</v>
      </c>
      <c r="R280" t="s">
        <v>1253</v>
      </c>
    </row>
    <row r="281" spans="1:18" x14ac:dyDescent="0.25">
      <c r="A281" s="33">
        <v>46027</v>
      </c>
      <c r="B281" s="1">
        <v>676214207007</v>
      </c>
      <c r="C281" s="2" t="s">
        <v>1251</v>
      </c>
      <c r="D281" s="34">
        <v>-2500</v>
      </c>
      <c r="E281" t="s">
        <v>20</v>
      </c>
      <c r="F281" s="2" t="e">
        <f>VLOOKUP(Tabla3[[#This Row],[CONTABLE]],'SAPROV (2)'!L:M,2,FALSE)</f>
        <v>#N/A</v>
      </c>
      <c r="H281" t="s">
        <v>588</v>
      </c>
      <c r="I281" s="2" t="str">
        <f>VLOOKUP(Tabla3[[#This Row],[Deposito]],'SAPROV (2)'!D:E,2,FALSE)</f>
        <v>A01</v>
      </c>
      <c r="K281" s="23" t="s">
        <v>23</v>
      </c>
      <c r="L281" s="23" t="str">
        <f>VLOOKUP(Tabla3[[#This Row],[PROVEEDOR]],'SAPROV (2)'!A:B,2,FALSE)</f>
        <v>04</v>
      </c>
      <c r="M281" t="str">
        <f>VLOOKUP(Tabla3[[#This Row],[SERVICIO]],'SAPROV (2)'!I:J,2,FALSE)</f>
        <v>SERV0060</v>
      </c>
      <c r="N281" t="s">
        <v>611</v>
      </c>
      <c r="P281">
        <f>VLOOKUP(Tabla3[[#This Row],[FECHA]],TASA[],2,FALSE)</f>
        <v>304.68</v>
      </c>
      <c r="Q281" s="4">
        <f t="shared" ref="Q281:Q282" si="29">D281/P281</f>
        <v>-8.2053301824865432</v>
      </c>
      <c r="R281" t="s">
        <v>1253</v>
      </c>
    </row>
    <row r="282" spans="1:18" x14ac:dyDescent="0.25">
      <c r="A282" s="33">
        <v>46027</v>
      </c>
      <c r="B282" s="1">
        <v>676215724015</v>
      </c>
      <c r="C282" s="2" t="s">
        <v>1251</v>
      </c>
      <c r="D282" s="34">
        <v>-2500</v>
      </c>
      <c r="E282" t="s">
        <v>20</v>
      </c>
      <c r="F282" s="2" t="e">
        <f>VLOOKUP(Tabla3[[#This Row],[CONTABLE]],'SAPROV (2)'!L:M,2,FALSE)</f>
        <v>#N/A</v>
      </c>
      <c r="H282" t="s">
        <v>588</v>
      </c>
      <c r="I282" s="2" t="str">
        <f>VLOOKUP(Tabla3[[#This Row],[Deposito]],'SAPROV (2)'!D:E,2,FALSE)</f>
        <v>A01</v>
      </c>
      <c r="K282" s="23" t="s">
        <v>23</v>
      </c>
      <c r="L282" s="23" t="str">
        <f>VLOOKUP(Tabla3[[#This Row],[PROVEEDOR]],'SAPROV (2)'!A:B,2,FALSE)</f>
        <v>04</v>
      </c>
      <c r="M282" t="str">
        <f>VLOOKUP(Tabla3[[#This Row],[SERVICIO]],'SAPROV (2)'!I:J,2,FALSE)</f>
        <v>SERV0060</v>
      </c>
      <c r="N282" t="s">
        <v>611</v>
      </c>
      <c r="P282">
        <f>VLOOKUP(Tabla3[[#This Row],[FECHA]],TASA[],2,FALSE)</f>
        <v>304.68</v>
      </c>
      <c r="Q282" s="4">
        <f t="shared" si="29"/>
        <v>-8.2053301824865432</v>
      </c>
      <c r="R282" t="s">
        <v>1253</v>
      </c>
    </row>
    <row r="283" spans="1:18" x14ac:dyDescent="0.25">
      <c r="A283" s="33">
        <v>46027</v>
      </c>
      <c r="B283" s="1">
        <v>676215902016</v>
      </c>
      <c r="C283" s="2" t="s">
        <v>1251</v>
      </c>
      <c r="D283" s="34">
        <v>-2500</v>
      </c>
      <c r="E283" t="s">
        <v>20</v>
      </c>
      <c r="F283" s="2" t="e">
        <f>VLOOKUP(Tabla3[[#This Row],[CONTABLE]],'SAPROV (2)'!L:M,2,FALSE)</f>
        <v>#N/A</v>
      </c>
      <c r="H283" t="s">
        <v>588</v>
      </c>
      <c r="I283" s="2" t="str">
        <f>VLOOKUP(Tabla3[[#This Row],[Deposito]],'SAPROV (2)'!D:E,2,FALSE)</f>
        <v>A01</v>
      </c>
      <c r="K283" s="23" t="s">
        <v>23</v>
      </c>
      <c r="L283" s="2" t="str">
        <f>VLOOKUP(Tabla3[[#This Row],[PROVEEDOR]],'SAPROV (2)'!A:B,2,FALSE)</f>
        <v>04</v>
      </c>
      <c r="M283" t="str">
        <f>VLOOKUP(Tabla3[[#This Row],[SERVICIO]],'SAPROV (2)'!I:J,2,FALSE)</f>
        <v>SERV0060</v>
      </c>
      <c r="N283" t="s">
        <v>611</v>
      </c>
      <c r="P283">
        <f>VLOOKUP(Tabla3[[#This Row],[FECHA]],TASA[],2,FALSE)</f>
        <v>304.68</v>
      </c>
      <c r="Q283" s="4">
        <f>D283/P283</f>
        <v>-8.2053301824865432</v>
      </c>
      <c r="R283" t="s">
        <v>1253</v>
      </c>
    </row>
    <row r="284" spans="1:18" x14ac:dyDescent="0.25">
      <c r="A284" s="33">
        <v>46027</v>
      </c>
      <c r="B284" s="1">
        <v>676214800010</v>
      </c>
      <c r="C284" s="2" t="s">
        <v>1251</v>
      </c>
      <c r="D284" s="34">
        <v>-2500</v>
      </c>
      <c r="E284" t="s">
        <v>20</v>
      </c>
      <c r="F284" s="2" t="e">
        <f>VLOOKUP(Tabla3[[#This Row],[CONTABLE]],'SAPROV (2)'!L:M,2,FALSE)</f>
        <v>#N/A</v>
      </c>
      <c r="H284" t="s">
        <v>588</v>
      </c>
      <c r="I284" s="2" t="str">
        <f>VLOOKUP(Tabla3[[#This Row],[Deposito]],'SAPROV (2)'!D:E,2,FALSE)</f>
        <v>A01</v>
      </c>
      <c r="K284" s="23" t="s">
        <v>23</v>
      </c>
      <c r="L284" s="23" t="str">
        <f>VLOOKUP(Tabla3[[#This Row],[PROVEEDOR]],'SAPROV (2)'!A:B,2,FALSE)</f>
        <v>04</v>
      </c>
      <c r="M284" t="str">
        <f>VLOOKUP(Tabla3[[#This Row],[SERVICIO]],'SAPROV (2)'!I:J,2,FALSE)</f>
        <v>SERV0060</v>
      </c>
      <c r="N284" t="s">
        <v>611</v>
      </c>
      <c r="P284">
        <f>VLOOKUP(Tabla3[[#This Row],[FECHA]],TASA[],2,FALSE)</f>
        <v>304.68</v>
      </c>
      <c r="Q284" s="4">
        <f t="shared" ref="Q284:Q285" si="30">D284/P284</f>
        <v>-8.2053301824865432</v>
      </c>
      <c r="R284" t="s">
        <v>1253</v>
      </c>
    </row>
    <row r="285" spans="1:18" x14ac:dyDescent="0.25">
      <c r="A285" s="33">
        <v>46027</v>
      </c>
      <c r="B285" s="1">
        <v>676217019022</v>
      </c>
      <c r="C285" s="2" t="s">
        <v>1251</v>
      </c>
      <c r="D285" s="34">
        <v>-2500</v>
      </c>
      <c r="E285" t="s">
        <v>20</v>
      </c>
      <c r="F285" s="2" t="e">
        <f>VLOOKUP(Tabla3[[#This Row],[CONTABLE]],'SAPROV (2)'!L:M,2,FALSE)</f>
        <v>#N/A</v>
      </c>
      <c r="H285" t="s">
        <v>588</v>
      </c>
      <c r="I285" s="2" t="str">
        <f>VLOOKUP(Tabla3[[#This Row],[Deposito]],'SAPROV (2)'!D:E,2,FALSE)</f>
        <v>A01</v>
      </c>
      <c r="K285" s="23" t="s">
        <v>23</v>
      </c>
      <c r="L285" s="23" t="str">
        <f>VLOOKUP(Tabla3[[#This Row],[PROVEEDOR]],'SAPROV (2)'!A:B,2,FALSE)</f>
        <v>04</v>
      </c>
      <c r="M285" t="str">
        <f>VLOOKUP(Tabla3[[#This Row],[SERVICIO]],'SAPROV (2)'!I:J,2,FALSE)</f>
        <v>SERV0060</v>
      </c>
      <c r="N285" t="s">
        <v>611</v>
      </c>
      <c r="P285">
        <f>VLOOKUP(Tabla3[[#This Row],[FECHA]],TASA[],2,FALSE)</f>
        <v>304.68</v>
      </c>
      <c r="Q285" s="4">
        <f t="shared" si="30"/>
        <v>-8.2053301824865432</v>
      </c>
      <c r="R285" t="s">
        <v>1253</v>
      </c>
    </row>
    <row r="286" spans="1:18" x14ac:dyDescent="0.25">
      <c r="A286" s="33">
        <v>46027</v>
      </c>
      <c r="B286" s="1">
        <v>676215306013</v>
      </c>
      <c r="C286" s="2" t="s">
        <v>1251</v>
      </c>
      <c r="D286" s="34">
        <v>-2500</v>
      </c>
      <c r="E286" t="s">
        <v>20</v>
      </c>
      <c r="F286" s="2" t="e">
        <f>VLOOKUP(Tabla3[[#This Row],[CONTABLE]],'SAPROV (2)'!L:M,2,FALSE)</f>
        <v>#N/A</v>
      </c>
      <c r="H286" t="s">
        <v>588</v>
      </c>
      <c r="I286" s="2" t="str">
        <f>VLOOKUP(Tabla3[[#This Row],[Deposito]],'SAPROV (2)'!D:E,2,FALSE)</f>
        <v>A01</v>
      </c>
      <c r="K286" s="23" t="s">
        <v>23</v>
      </c>
      <c r="L286" s="2" t="str">
        <f>VLOOKUP(Tabla3[[#This Row],[PROVEEDOR]],'SAPROV (2)'!A:B,2,FALSE)</f>
        <v>04</v>
      </c>
      <c r="M286" t="str">
        <f>VLOOKUP(Tabla3[[#This Row],[SERVICIO]],'SAPROV (2)'!I:J,2,FALSE)</f>
        <v>SERV0060</v>
      </c>
      <c r="N286" t="s">
        <v>611</v>
      </c>
      <c r="P286">
        <f>VLOOKUP(Tabla3[[#This Row],[FECHA]],TASA[],2,FALSE)</f>
        <v>304.68</v>
      </c>
      <c r="Q286" s="4">
        <f>D286/P286</f>
        <v>-8.2053301824865432</v>
      </c>
      <c r="R286" t="s">
        <v>1253</v>
      </c>
    </row>
    <row r="287" spans="1:18" x14ac:dyDescent="0.25">
      <c r="A287" s="33">
        <v>46027</v>
      </c>
      <c r="B287" s="1">
        <v>676215525014</v>
      </c>
      <c r="C287" s="2" t="s">
        <v>1251</v>
      </c>
      <c r="D287" s="34">
        <v>-2500</v>
      </c>
      <c r="E287" t="s">
        <v>20</v>
      </c>
      <c r="F287" s="2" t="e">
        <f>VLOOKUP(Tabla3[[#This Row],[CONTABLE]],'SAPROV (2)'!L:M,2,FALSE)</f>
        <v>#N/A</v>
      </c>
      <c r="H287" t="s">
        <v>588</v>
      </c>
      <c r="I287" s="2" t="str">
        <f>VLOOKUP(Tabla3[[#This Row],[Deposito]],'SAPROV (2)'!D:E,2,FALSE)</f>
        <v>A01</v>
      </c>
      <c r="K287" s="23" t="s">
        <v>23</v>
      </c>
      <c r="L287" s="23" t="str">
        <f>VLOOKUP(Tabla3[[#This Row],[PROVEEDOR]],'SAPROV (2)'!A:B,2,FALSE)</f>
        <v>04</v>
      </c>
      <c r="M287" t="str">
        <f>VLOOKUP(Tabla3[[#This Row],[SERVICIO]],'SAPROV (2)'!I:J,2,FALSE)</f>
        <v>SERV0060</v>
      </c>
      <c r="N287" t="s">
        <v>611</v>
      </c>
      <c r="P287">
        <f>VLOOKUP(Tabla3[[#This Row],[FECHA]],TASA[],2,FALSE)</f>
        <v>304.68</v>
      </c>
      <c r="Q287" s="4">
        <f>D287/P287</f>
        <v>-8.2053301824865432</v>
      </c>
      <c r="R287" t="s">
        <v>1253</v>
      </c>
    </row>
    <row r="288" spans="1:18" x14ac:dyDescent="0.25">
      <c r="A288" s="33">
        <v>46027</v>
      </c>
      <c r="B288" s="1">
        <v>676216611020</v>
      </c>
      <c r="C288" s="2" t="s">
        <v>1251</v>
      </c>
      <c r="D288" s="34">
        <v>-2500</v>
      </c>
      <c r="E288" t="s">
        <v>20</v>
      </c>
      <c r="F288" s="2" t="e">
        <f>VLOOKUP(Tabla3[[#This Row],[CONTABLE]],'SAPROV (2)'!L:M,2,FALSE)</f>
        <v>#N/A</v>
      </c>
      <c r="H288" t="s">
        <v>588</v>
      </c>
      <c r="I288" s="2" t="str">
        <f>VLOOKUP(Tabla3[[#This Row],[Deposito]],'SAPROV (2)'!D:E,2,FALSE)</f>
        <v>A01</v>
      </c>
      <c r="K288" s="23" t="s">
        <v>23</v>
      </c>
      <c r="L288" s="23" t="str">
        <f>VLOOKUP(Tabla3[[#This Row],[PROVEEDOR]],'SAPROV (2)'!A:B,2,FALSE)</f>
        <v>04</v>
      </c>
      <c r="M288" t="str">
        <f>VLOOKUP(Tabla3[[#This Row],[SERVICIO]],'SAPROV (2)'!I:J,2,FALSE)</f>
        <v>SERV0060</v>
      </c>
      <c r="N288" t="s">
        <v>611</v>
      </c>
      <c r="P288">
        <f>VLOOKUP(Tabla3[[#This Row],[FECHA]],TASA[],2,FALSE)</f>
        <v>304.68</v>
      </c>
      <c r="Q288" s="4">
        <f t="shared" ref="Q288:Q289" si="31">D288/P288</f>
        <v>-8.2053301824865432</v>
      </c>
      <c r="R288" t="s">
        <v>1253</v>
      </c>
    </row>
    <row r="289" spans="1:18" x14ac:dyDescent="0.25">
      <c r="A289" s="33">
        <v>46027</v>
      </c>
      <c r="B289" s="1">
        <v>676214035006</v>
      </c>
      <c r="C289" s="2" t="s">
        <v>1251</v>
      </c>
      <c r="D289" s="34">
        <v>-2500</v>
      </c>
      <c r="E289" t="s">
        <v>20</v>
      </c>
      <c r="F289" s="2" t="e">
        <f>VLOOKUP(Tabla3[[#This Row],[CONTABLE]],'SAPROV (2)'!L:M,2,FALSE)</f>
        <v>#N/A</v>
      </c>
      <c r="H289" t="s">
        <v>588</v>
      </c>
      <c r="I289" s="2" t="str">
        <f>VLOOKUP(Tabla3[[#This Row],[Deposito]],'SAPROV (2)'!D:E,2,FALSE)</f>
        <v>A01</v>
      </c>
      <c r="K289" s="23" t="s">
        <v>23</v>
      </c>
      <c r="L289" s="2" t="str">
        <f>VLOOKUP(Tabla3[[#This Row],[PROVEEDOR]],'SAPROV (2)'!A:B,2,FALSE)</f>
        <v>04</v>
      </c>
      <c r="M289" t="str">
        <f>VLOOKUP(Tabla3[[#This Row],[SERVICIO]],'SAPROV (2)'!I:J,2,FALSE)</f>
        <v>SERV0060</v>
      </c>
      <c r="N289" t="s">
        <v>611</v>
      </c>
      <c r="P289">
        <f>VLOOKUP(Tabla3[[#This Row],[FECHA]],TASA[],2,FALSE)</f>
        <v>304.68</v>
      </c>
      <c r="Q289" s="4">
        <f t="shared" si="31"/>
        <v>-8.2053301824865432</v>
      </c>
      <c r="R289" t="s">
        <v>1253</v>
      </c>
    </row>
    <row r="290" spans="1:18" x14ac:dyDescent="0.25">
      <c r="A290" s="33">
        <v>46027</v>
      </c>
      <c r="B290" s="1">
        <v>676214951011</v>
      </c>
      <c r="C290" s="2" t="s">
        <v>1251</v>
      </c>
      <c r="D290" s="34">
        <v>-2500</v>
      </c>
      <c r="E290" t="s">
        <v>20</v>
      </c>
      <c r="F290" s="2" t="e">
        <f>VLOOKUP(Tabla3[[#This Row],[CONTABLE]],'SAPROV (2)'!L:M,2,FALSE)</f>
        <v>#N/A</v>
      </c>
      <c r="H290" t="s">
        <v>588</v>
      </c>
      <c r="I290" s="2" t="str">
        <f>VLOOKUP(Tabla3[[#This Row],[Deposito]],'SAPROV (2)'!D:E,2,FALSE)</f>
        <v>A01</v>
      </c>
      <c r="K290" s="23" t="s">
        <v>23</v>
      </c>
      <c r="L290" s="23" t="str">
        <f>VLOOKUP(Tabla3[[#This Row],[PROVEEDOR]],'SAPROV (2)'!A:B,2,FALSE)</f>
        <v>04</v>
      </c>
      <c r="M290" t="str">
        <f>VLOOKUP(Tabla3[[#This Row],[SERVICIO]],'SAPROV (2)'!I:J,2,FALSE)</f>
        <v>SERV0060</v>
      </c>
      <c r="N290" t="s">
        <v>611</v>
      </c>
      <c r="P290">
        <f>VLOOKUP(Tabla3[[#This Row],[FECHA]],TASA[],2,FALSE)</f>
        <v>304.68</v>
      </c>
      <c r="Q290" s="4">
        <f t="shared" ref="Q290:Q295" si="32">D290/P290</f>
        <v>-8.2053301824865432</v>
      </c>
      <c r="R290" t="s">
        <v>1253</v>
      </c>
    </row>
    <row r="291" spans="1:18" x14ac:dyDescent="0.25">
      <c r="A291" s="33">
        <v>46027</v>
      </c>
      <c r="B291" s="1">
        <v>676213674004</v>
      </c>
      <c r="C291" s="2" t="s">
        <v>1251</v>
      </c>
      <c r="D291" s="34">
        <v>-2500</v>
      </c>
      <c r="E291" t="s">
        <v>20</v>
      </c>
      <c r="F291" s="2" t="e">
        <f>VLOOKUP(Tabla3[[#This Row],[CONTABLE]],'SAPROV (2)'!L:M,2,FALSE)</f>
        <v>#N/A</v>
      </c>
      <c r="H291" t="s">
        <v>588</v>
      </c>
      <c r="I291" s="2" t="str">
        <f>VLOOKUP(Tabla3[[#This Row],[Deposito]],'SAPROV (2)'!D:E,2,FALSE)</f>
        <v>A01</v>
      </c>
      <c r="K291" s="23" t="s">
        <v>23</v>
      </c>
      <c r="L291" s="23" t="str">
        <f>VLOOKUP(Tabla3[[#This Row],[PROVEEDOR]],'SAPROV (2)'!A:B,2,FALSE)</f>
        <v>04</v>
      </c>
      <c r="M291" t="str">
        <f>VLOOKUP(Tabla3[[#This Row],[SERVICIO]],'SAPROV (2)'!I:J,2,FALSE)</f>
        <v>SERV0060</v>
      </c>
      <c r="N291" t="s">
        <v>611</v>
      </c>
      <c r="P291">
        <f>VLOOKUP(Tabla3[[#This Row],[FECHA]],TASA[],2,FALSE)</f>
        <v>304.68</v>
      </c>
      <c r="Q291" s="4">
        <f t="shared" si="32"/>
        <v>-8.2053301824865432</v>
      </c>
      <c r="R291" t="s">
        <v>1253</v>
      </c>
    </row>
    <row r="292" spans="1:18" x14ac:dyDescent="0.25">
      <c r="A292" s="33">
        <v>46027</v>
      </c>
      <c r="B292" s="1">
        <v>676284761001</v>
      </c>
      <c r="C292" s="2" t="s">
        <v>1251</v>
      </c>
      <c r="D292" s="34">
        <v>-214.91</v>
      </c>
      <c r="E292" t="s">
        <v>20</v>
      </c>
      <c r="F292" s="2" t="e">
        <f>VLOOKUP(Tabla3[[#This Row],[CONTABLE]],'SAPROV (2)'!L:M,2,FALSE)</f>
        <v>#N/A</v>
      </c>
      <c r="H292" t="s">
        <v>588</v>
      </c>
      <c r="I292" s="2" t="str">
        <f>VLOOKUP(Tabla3[[#This Row],[Deposito]],'SAPROV (2)'!D:E,2,FALSE)</f>
        <v>A01</v>
      </c>
      <c r="K292" s="23" t="s">
        <v>23</v>
      </c>
      <c r="L292" s="2" t="str">
        <f>VLOOKUP(Tabla3[[#This Row],[PROVEEDOR]],'SAPROV (2)'!A:B,2,FALSE)</f>
        <v>04</v>
      </c>
      <c r="M292" t="str">
        <f>VLOOKUP(Tabla3[[#This Row],[SERVICIO]],'SAPROV (2)'!I:J,2,FALSE)</f>
        <v>SERV0060</v>
      </c>
      <c r="N292" t="s">
        <v>611</v>
      </c>
      <c r="P292">
        <f>VLOOKUP(Tabla3[[#This Row],[FECHA]],TASA[],2,FALSE)</f>
        <v>304.68</v>
      </c>
      <c r="Q292" s="4">
        <f t="shared" si="32"/>
        <v>-0.70536300380727313</v>
      </c>
      <c r="R292" t="s">
        <v>1253</v>
      </c>
    </row>
    <row r="293" spans="1:18" x14ac:dyDescent="0.25">
      <c r="A293" s="33">
        <v>46027</v>
      </c>
      <c r="B293" s="1">
        <v>676284762002</v>
      </c>
      <c r="C293" s="2" t="s">
        <v>1251</v>
      </c>
      <c r="D293" s="34">
        <v>-1625.52</v>
      </c>
      <c r="E293" t="s">
        <v>20</v>
      </c>
      <c r="F293" s="2" t="e">
        <f>VLOOKUP(Tabla3[[#This Row],[CONTABLE]],'SAPROV (2)'!L:M,2,FALSE)</f>
        <v>#N/A</v>
      </c>
      <c r="H293" t="s">
        <v>588</v>
      </c>
      <c r="I293" s="2" t="str">
        <f>VLOOKUP(Tabla3[[#This Row],[Deposito]],'SAPROV (2)'!D:E,2,FALSE)</f>
        <v>A01</v>
      </c>
      <c r="K293" s="23" t="s">
        <v>23</v>
      </c>
      <c r="L293" s="23" t="str">
        <f>VLOOKUP(Tabla3[[#This Row],[PROVEEDOR]],'SAPROV (2)'!A:B,2,FALSE)</f>
        <v>04</v>
      </c>
      <c r="M293" t="str">
        <f>VLOOKUP(Tabla3[[#This Row],[SERVICIO]],'SAPROV (2)'!I:J,2,FALSE)</f>
        <v>SERV0060</v>
      </c>
      <c r="N293" t="s">
        <v>611</v>
      </c>
      <c r="P293">
        <f>VLOOKUP(Tabla3[[#This Row],[FECHA]],TASA[],2,FALSE)</f>
        <v>304.68</v>
      </c>
      <c r="Q293" s="4">
        <f t="shared" si="32"/>
        <v>-5.3351713272942103</v>
      </c>
      <c r="R293" t="s">
        <v>1253</v>
      </c>
    </row>
    <row r="294" spans="1:18" x14ac:dyDescent="0.25">
      <c r="A294" s="33">
        <v>46028</v>
      </c>
      <c r="B294" s="1">
        <v>676213805001</v>
      </c>
      <c r="C294" s="2" t="s">
        <v>1251</v>
      </c>
      <c r="D294" s="34">
        <v>-14637.12</v>
      </c>
      <c r="E294" t="s">
        <v>20</v>
      </c>
      <c r="F294" s="2" t="e">
        <f>VLOOKUP(Tabla3[[#This Row],[CONTABLE]],'SAPROV (2)'!L:M,2,FALSE)</f>
        <v>#N/A</v>
      </c>
      <c r="H294" t="s">
        <v>588</v>
      </c>
      <c r="I294" s="2" t="str">
        <f>VLOOKUP(Tabla3[[#This Row],[Deposito]],'SAPROV (2)'!D:E,2,FALSE)</f>
        <v>A01</v>
      </c>
      <c r="K294" s="23" t="s">
        <v>23</v>
      </c>
      <c r="L294" s="23" t="str">
        <f>VLOOKUP(Tabla3[[#This Row],[PROVEEDOR]],'SAPROV (2)'!A:B,2,FALSE)</f>
        <v>04</v>
      </c>
      <c r="M294" t="str">
        <f>VLOOKUP(Tabla3[[#This Row],[SERVICIO]],'SAPROV (2)'!I:J,2,FALSE)</f>
        <v>SERV0060</v>
      </c>
      <c r="N294" t="s">
        <v>611</v>
      </c>
      <c r="P294">
        <f>VLOOKUP(Tabla3[[#This Row],[FECHA]],TASA[],2,FALSE)</f>
        <v>308.14999999999998</v>
      </c>
      <c r="Q294" s="4">
        <f t="shared" si="32"/>
        <v>-47.499983774135977</v>
      </c>
      <c r="R294" t="s">
        <v>1253</v>
      </c>
    </row>
    <row r="295" spans="1:18" x14ac:dyDescent="0.25">
      <c r="A295" s="33">
        <v>46028</v>
      </c>
      <c r="B295" s="1">
        <v>676213809005</v>
      </c>
      <c r="C295" s="2" t="s">
        <v>1251</v>
      </c>
      <c r="D295" s="34">
        <v>-504.98</v>
      </c>
      <c r="E295" t="s">
        <v>20</v>
      </c>
      <c r="F295" s="2" t="e">
        <f>VLOOKUP(Tabla3[[#This Row],[CONTABLE]],'SAPROV (2)'!L:M,2,FALSE)</f>
        <v>#N/A</v>
      </c>
      <c r="H295" t="s">
        <v>588</v>
      </c>
      <c r="I295" s="2" t="str">
        <f>VLOOKUP(Tabla3[[#This Row],[Deposito]],'SAPROV (2)'!D:E,2,FALSE)</f>
        <v>A01</v>
      </c>
      <c r="K295" s="23" t="s">
        <v>23</v>
      </c>
      <c r="L295" s="2" t="str">
        <f>VLOOKUP(Tabla3[[#This Row],[PROVEEDOR]],'SAPROV (2)'!A:B,2,FALSE)</f>
        <v>04</v>
      </c>
      <c r="M295" t="str">
        <f>VLOOKUP(Tabla3[[#This Row],[SERVICIO]],'SAPROV (2)'!I:J,2,FALSE)</f>
        <v>SERV0060</v>
      </c>
      <c r="N295" t="s">
        <v>611</v>
      </c>
      <c r="P295">
        <f>VLOOKUP(Tabla3[[#This Row],[FECHA]],TASA[],2,FALSE)</f>
        <v>308.14999999999998</v>
      </c>
      <c r="Q295" s="4">
        <f t="shared" si="32"/>
        <v>-1.6387473632970957</v>
      </c>
      <c r="R295" t="s">
        <v>1253</v>
      </c>
    </row>
    <row r="296" spans="1:18" x14ac:dyDescent="0.25">
      <c r="A296" s="33">
        <v>46028</v>
      </c>
      <c r="B296" s="1">
        <v>676213808004</v>
      </c>
      <c r="C296" s="2" t="s">
        <v>1251</v>
      </c>
      <c r="D296" s="34">
        <v>-219.55</v>
      </c>
      <c r="E296" t="s">
        <v>20</v>
      </c>
      <c r="F296" s="2" t="e">
        <f>VLOOKUP(Tabla3[[#This Row],[CONTABLE]],'SAPROV (2)'!L:M,2,FALSE)</f>
        <v>#N/A</v>
      </c>
      <c r="H296" t="s">
        <v>588</v>
      </c>
      <c r="I296" s="2" t="str">
        <f>VLOOKUP(Tabla3[[#This Row],[Deposito]],'SAPROV (2)'!D:E,2,FALSE)</f>
        <v>A01</v>
      </c>
      <c r="K296" s="23" t="s">
        <v>23</v>
      </c>
      <c r="L296" s="23" t="str">
        <f>VLOOKUP(Tabla3[[#This Row],[PROVEEDOR]],'SAPROV (2)'!A:B,2,FALSE)</f>
        <v>04</v>
      </c>
      <c r="M296" t="str">
        <f>VLOOKUP(Tabla3[[#This Row],[SERVICIO]],'SAPROV (2)'!I:J,2,FALSE)</f>
        <v>SERV0060</v>
      </c>
      <c r="N296" t="s">
        <v>611</v>
      </c>
      <c r="P296">
        <f>VLOOKUP(Tabla3[[#This Row],[FECHA]],TASA[],2,FALSE)</f>
        <v>308.14999999999998</v>
      </c>
      <c r="Q296" s="4">
        <f t="shared" ref="Q296:Q298" si="33">D296/P296</f>
        <v>-0.71247768943696266</v>
      </c>
      <c r="R296" t="s">
        <v>1253</v>
      </c>
    </row>
    <row r="297" spans="1:18" x14ac:dyDescent="0.25">
      <c r="A297" s="33">
        <v>46028</v>
      </c>
      <c r="B297" s="1">
        <v>676213807003</v>
      </c>
      <c r="C297" s="2" t="s">
        <v>1251</v>
      </c>
      <c r="D297" s="34">
        <v>-219.55</v>
      </c>
      <c r="E297" t="s">
        <v>20</v>
      </c>
      <c r="F297" s="2" t="e">
        <f>VLOOKUP(Tabla3[[#This Row],[CONTABLE]],'SAPROV (2)'!L:M,2,FALSE)</f>
        <v>#N/A</v>
      </c>
      <c r="H297" t="s">
        <v>588</v>
      </c>
      <c r="I297" s="2" t="str">
        <f>VLOOKUP(Tabla3[[#This Row],[Deposito]],'SAPROV (2)'!D:E,2,FALSE)</f>
        <v>A01</v>
      </c>
      <c r="K297" s="23" t="s">
        <v>23</v>
      </c>
      <c r="L297" s="23" t="str">
        <f>VLOOKUP(Tabla3[[#This Row],[PROVEEDOR]],'SAPROV (2)'!A:B,2,FALSE)</f>
        <v>04</v>
      </c>
      <c r="M297" t="str">
        <f>VLOOKUP(Tabla3[[#This Row],[SERVICIO]],'SAPROV (2)'!I:J,2,FALSE)</f>
        <v>SERV0060</v>
      </c>
      <c r="N297" t="s">
        <v>611</v>
      </c>
      <c r="P297">
        <f>VLOOKUP(Tabla3[[#This Row],[FECHA]],TASA[],2,FALSE)</f>
        <v>308.14999999999998</v>
      </c>
      <c r="Q297" s="4">
        <f t="shared" si="33"/>
        <v>-0.71247768943696266</v>
      </c>
      <c r="R297" t="s">
        <v>1253</v>
      </c>
    </row>
    <row r="298" spans="1:18" x14ac:dyDescent="0.25">
      <c r="A298" s="33">
        <v>46028</v>
      </c>
      <c r="B298" s="1">
        <v>676213806002</v>
      </c>
      <c r="C298" s="2" t="s">
        <v>1251</v>
      </c>
      <c r="D298" s="34">
        <v>-54.88</v>
      </c>
      <c r="E298" t="s">
        <v>20</v>
      </c>
      <c r="F298" s="2" t="e">
        <f>VLOOKUP(Tabla3[[#This Row],[CONTABLE]],'SAPROV (2)'!L:M,2,FALSE)</f>
        <v>#N/A</v>
      </c>
      <c r="H298" t="s">
        <v>588</v>
      </c>
      <c r="I298" s="2" t="str">
        <f>VLOOKUP(Tabla3[[#This Row],[Deposito]],'SAPROV (2)'!D:E,2,FALSE)</f>
        <v>A01</v>
      </c>
      <c r="K298" s="23" t="s">
        <v>23</v>
      </c>
      <c r="L298" s="2" t="str">
        <f>VLOOKUP(Tabla3[[#This Row],[PROVEEDOR]],'SAPROV (2)'!A:B,2,FALSE)</f>
        <v>04</v>
      </c>
      <c r="M298" t="str">
        <f>VLOOKUP(Tabla3[[#This Row],[SERVICIO]],'SAPROV (2)'!I:J,2,FALSE)</f>
        <v>SERV0060</v>
      </c>
      <c r="N298" t="s">
        <v>611</v>
      </c>
      <c r="P298">
        <f>VLOOKUP(Tabla3[[#This Row],[FECHA]],TASA[],2,FALSE)</f>
        <v>308.14999999999998</v>
      </c>
      <c r="Q298" s="4">
        <f t="shared" si="33"/>
        <v>-0.17809508356319975</v>
      </c>
      <c r="R298" t="s">
        <v>1253</v>
      </c>
    </row>
    <row r="299" spans="1:18" x14ac:dyDescent="0.25">
      <c r="A299" s="33">
        <v>46028</v>
      </c>
      <c r="B299" s="1">
        <v>676288610001</v>
      </c>
      <c r="C299" s="2" t="s">
        <v>1251</v>
      </c>
      <c r="D299" s="34">
        <v>-1320.67</v>
      </c>
      <c r="E299" t="s">
        <v>20</v>
      </c>
      <c r="F299" s="2" t="e">
        <f>VLOOKUP(Tabla3[[#This Row],[CONTABLE]],'SAPROV (2)'!L:M,2,FALSE)</f>
        <v>#N/A</v>
      </c>
      <c r="H299" t="s">
        <v>588</v>
      </c>
      <c r="I299" s="2" t="str">
        <f>VLOOKUP(Tabla3[[#This Row],[Deposito]],'SAPROV (2)'!D:E,2,FALSE)</f>
        <v>A01</v>
      </c>
      <c r="K299" s="23" t="s">
        <v>23</v>
      </c>
      <c r="L299" s="23" t="str">
        <f>VLOOKUP(Tabla3[[#This Row],[PROVEEDOR]],'SAPROV (2)'!A:B,2,FALSE)</f>
        <v>04</v>
      </c>
      <c r="M299" t="str">
        <f>VLOOKUP(Tabla3[[#This Row],[SERVICIO]],'SAPROV (2)'!I:J,2,FALSE)</f>
        <v>SERV0060</v>
      </c>
      <c r="N299" t="s">
        <v>611</v>
      </c>
      <c r="P299">
        <f>VLOOKUP(Tabla3[[#This Row],[FECHA]],TASA[],2,FALSE)</f>
        <v>308.14999999999998</v>
      </c>
      <c r="Q299" s="4">
        <f t="shared" ref="Q299:Q307" si="34">D299/P299</f>
        <v>-4.2858023689761486</v>
      </c>
      <c r="R299" t="s">
        <v>1253</v>
      </c>
    </row>
    <row r="300" spans="1:18" x14ac:dyDescent="0.25">
      <c r="A300" s="33">
        <v>46028</v>
      </c>
      <c r="B300" s="1">
        <v>676266332001</v>
      </c>
      <c r="C300" s="2" t="s">
        <v>1251</v>
      </c>
      <c r="D300" s="34">
        <v>-6.81</v>
      </c>
      <c r="E300" t="s">
        <v>20</v>
      </c>
      <c r="F300" s="2" t="e">
        <f>VLOOKUP(Tabla3[[#This Row],[CONTABLE]],'SAPROV (2)'!L:M,2,FALSE)</f>
        <v>#N/A</v>
      </c>
      <c r="H300" t="s">
        <v>588</v>
      </c>
      <c r="I300" s="2" t="str">
        <f>VLOOKUP(Tabla3[[#This Row],[Deposito]],'SAPROV (2)'!D:E,2,FALSE)</f>
        <v>A01</v>
      </c>
      <c r="K300" s="23" t="s">
        <v>23</v>
      </c>
      <c r="L300" s="23" t="str">
        <f>VLOOKUP(Tabla3[[#This Row],[PROVEEDOR]],'SAPROV (2)'!A:B,2,FALSE)</f>
        <v>04</v>
      </c>
      <c r="M300" t="str">
        <f>VLOOKUP(Tabla3[[#This Row],[SERVICIO]],'SAPROV (2)'!I:J,2,FALSE)</f>
        <v>SERV0060</v>
      </c>
      <c r="N300" t="s">
        <v>611</v>
      </c>
      <c r="P300">
        <f>VLOOKUP(Tabla3[[#This Row],[FECHA]],TASA[],2,FALSE)</f>
        <v>308.14999999999998</v>
      </c>
      <c r="Q300" s="4">
        <f t="shared" si="34"/>
        <v>-2.2099626805127372E-2</v>
      </c>
      <c r="R300" t="s">
        <v>1253</v>
      </c>
    </row>
    <row r="301" spans="1:18" x14ac:dyDescent="0.25">
      <c r="A301" s="33">
        <v>46028</v>
      </c>
      <c r="B301" s="1">
        <v>676266346008</v>
      </c>
      <c r="C301" s="2" t="s">
        <v>1251</v>
      </c>
      <c r="D301" s="34">
        <v>-441.3</v>
      </c>
      <c r="E301" t="s">
        <v>20</v>
      </c>
      <c r="F301" s="2" t="e">
        <f>VLOOKUP(Tabla3[[#This Row],[CONTABLE]],'SAPROV (2)'!L:M,2,FALSE)</f>
        <v>#N/A</v>
      </c>
      <c r="H301" t="s">
        <v>588</v>
      </c>
      <c r="I301" s="2" t="str">
        <f>VLOOKUP(Tabla3[[#This Row],[Deposito]],'SAPROV (2)'!D:E,2,FALSE)</f>
        <v>A01</v>
      </c>
      <c r="K301" s="23" t="s">
        <v>23</v>
      </c>
      <c r="L301" s="2" t="str">
        <f>VLOOKUP(Tabla3[[#This Row],[PROVEEDOR]],'SAPROV (2)'!A:B,2,FALSE)</f>
        <v>04</v>
      </c>
      <c r="M301" t="str">
        <f>VLOOKUP(Tabla3[[#This Row],[SERVICIO]],'SAPROV (2)'!I:J,2,FALSE)</f>
        <v>SERV0060</v>
      </c>
      <c r="N301" t="s">
        <v>611</v>
      </c>
      <c r="P301">
        <f>VLOOKUP(Tabla3[[#This Row],[FECHA]],TASA[],2,FALSE)</f>
        <v>308.14999999999998</v>
      </c>
      <c r="Q301" s="4">
        <f t="shared" si="34"/>
        <v>-1.4320947590459194</v>
      </c>
      <c r="R301" t="s">
        <v>1253</v>
      </c>
    </row>
    <row r="302" spans="1:18" x14ac:dyDescent="0.25">
      <c r="A302" s="33">
        <v>46028</v>
      </c>
      <c r="B302" s="1">
        <v>676266333002</v>
      </c>
      <c r="C302" s="2" t="s">
        <v>1251</v>
      </c>
      <c r="D302" s="34">
        <v>-4.62</v>
      </c>
      <c r="E302" t="s">
        <v>20</v>
      </c>
      <c r="F302" s="2" t="e">
        <f>VLOOKUP(Tabla3[[#This Row],[CONTABLE]],'SAPROV (2)'!L:M,2,FALSE)</f>
        <v>#N/A</v>
      </c>
      <c r="H302" t="s">
        <v>588</v>
      </c>
      <c r="I302" s="2" t="str">
        <f>VLOOKUP(Tabla3[[#This Row],[Deposito]],'SAPROV (2)'!D:E,2,FALSE)</f>
        <v>A01</v>
      </c>
      <c r="K302" s="23" t="s">
        <v>23</v>
      </c>
      <c r="L302" s="23" t="str">
        <f>VLOOKUP(Tabla3[[#This Row],[PROVEEDOR]],'SAPROV (2)'!A:B,2,FALSE)</f>
        <v>04</v>
      </c>
      <c r="M302" t="str">
        <f>VLOOKUP(Tabla3[[#This Row],[SERVICIO]],'SAPROV (2)'!I:J,2,FALSE)</f>
        <v>SERV0060</v>
      </c>
      <c r="N302" t="s">
        <v>611</v>
      </c>
      <c r="P302">
        <f>VLOOKUP(Tabla3[[#This Row],[FECHA]],TASA[],2,FALSE)</f>
        <v>308.14999999999998</v>
      </c>
      <c r="Q302" s="4">
        <f t="shared" si="34"/>
        <v>-1.4992698361187735E-2</v>
      </c>
      <c r="R302" t="s">
        <v>1253</v>
      </c>
    </row>
    <row r="303" spans="1:18" x14ac:dyDescent="0.25">
      <c r="A303" s="33">
        <v>46028</v>
      </c>
      <c r="B303" s="1">
        <v>676266335003</v>
      </c>
      <c r="C303" s="2" t="s">
        <v>1251</v>
      </c>
      <c r="D303" s="34">
        <v>-99.99</v>
      </c>
      <c r="E303" t="s">
        <v>20</v>
      </c>
      <c r="F303" s="2" t="e">
        <f>VLOOKUP(Tabla3[[#This Row],[CONTABLE]],'SAPROV (2)'!L:M,2,FALSE)</f>
        <v>#N/A</v>
      </c>
      <c r="H303" t="s">
        <v>588</v>
      </c>
      <c r="I303" s="2" t="str">
        <f>VLOOKUP(Tabla3[[#This Row],[Deposito]],'SAPROV (2)'!D:E,2,FALSE)</f>
        <v>A01</v>
      </c>
      <c r="K303" s="23" t="s">
        <v>23</v>
      </c>
      <c r="L303" s="23" t="str">
        <f>VLOOKUP(Tabla3[[#This Row],[PROVEEDOR]],'SAPROV (2)'!A:B,2,FALSE)</f>
        <v>04</v>
      </c>
      <c r="M303" t="str">
        <f>VLOOKUP(Tabla3[[#This Row],[SERVICIO]],'SAPROV (2)'!I:J,2,FALSE)</f>
        <v>SERV0060</v>
      </c>
      <c r="N303" t="s">
        <v>611</v>
      </c>
      <c r="P303">
        <f>VLOOKUP(Tabla3[[#This Row],[FECHA]],TASA[],2,FALSE)</f>
        <v>308.14999999999998</v>
      </c>
      <c r="Q303" s="4">
        <f t="shared" si="34"/>
        <v>-0.32448482881713453</v>
      </c>
      <c r="R303" t="s">
        <v>1253</v>
      </c>
    </row>
    <row r="304" spans="1:18" x14ac:dyDescent="0.25">
      <c r="A304" s="33">
        <v>46028</v>
      </c>
      <c r="B304" s="1">
        <v>676266344007</v>
      </c>
      <c r="C304" s="2" t="s">
        <v>1251</v>
      </c>
      <c r="D304" s="34">
        <v>-1271.23</v>
      </c>
      <c r="E304" t="s">
        <v>20</v>
      </c>
      <c r="F304" s="2" t="e">
        <f>VLOOKUP(Tabla3[[#This Row],[CONTABLE]],'SAPROV (2)'!L:M,2,FALSE)</f>
        <v>#N/A</v>
      </c>
      <c r="H304" t="s">
        <v>588</v>
      </c>
      <c r="I304" s="2" t="str">
        <f>VLOOKUP(Tabla3[[#This Row],[Deposito]],'SAPROV (2)'!D:E,2,FALSE)</f>
        <v>A01</v>
      </c>
      <c r="K304" s="23" t="s">
        <v>23</v>
      </c>
      <c r="L304" s="2" t="str">
        <f>VLOOKUP(Tabla3[[#This Row],[PROVEEDOR]],'SAPROV (2)'!A:B,2,FALSE)</f>
        <v>04</v>
      </c>
      <c r="M304" t="str">
        <f>VLOOKUP(Tabla3[[#This Row],[SERVICIO]],'SAPROV (2)'!I:J,2,FALSE)</f>
        <v>SERV0060</v>
      </c>
      <c r="N304" t="s">
        <v>611</v>
      </c>
      <c r="P304">
        <f>VLOOKUP(Tabla3[[#This Row],[FECHA]],TASA[],2,FALSE)</f>
        <v>308.14999999999998</v>
      </c>
      <c r="Q304" s="4">
        <f t="shared" si="34"/>
        <v>-4.1253610254746071</v>
      </c>
      <c r="R304" t="s">
        <v>1253</v>
      </c>
    </row>
    <row r="305" spans="1:18" x14ac:dyDescent="0.25">
      <c r="A305" s="33">
        <v>46028</v>
      </c>
      <c r="B305" s="1">
        <v>676266339005</v>
      </c>
      <c r="C305" s="2" t="s">
        <v>1251</v>
      </c>
      <c r="D305" s="34">
        <v>-296.67</v>
      </c>
      <c r="E305" t="s">
        <v>20</v>
      </c>
      <c r="F305" s="2" t="e">
        <f>VLOOKUP(Tabla3[[#This Row],[CONTABLE]],'SAPROV (2)'!L:M,2,FALSE)</f>
        <v>#N/A</v>
      </c>
      <c r="H305" t="s">
        <v>588</v>
      </c>
      <c r="I305" s="2" t="str">
        <f>VLOOKUP(Tabla3[[#This Row],[Deposito]],'SAPROV (2)'!D:E,2,FALSE)</f>
        <v>A01</v>
      </c>
      <c r="K305" s="23" t="s">
        <v>23</v>
      </c>
      <c r="L305" s="23" t="str">
        <f>VLOOKUP(Tabla3[[#This Row],[PROVEEDOR]],'SAPROV (2)'!A:B,2,FALSE)</f>
        <v>04</v>
      </c>
      <c r="M305" t="str">
        <f>VLOOKUP(Tabla3[[#This Row],[SERVICIO]],'SAPROV (2)'!I:J,2,FALSE)</f>
        <v>SERV0060</v>
      </c>
      <c r="N305" t="s">
        <v>611</v>
      </c>
      <c r="P305">
        <f>VLOOKUP(Tabla3[[#This Row],[FECHA]],TASA[],2,FALSE)</f>
        <v>308.14999999999998</v>
      </c>
      <c r="Q305" s="4">
        <f t="shared" si="34"/>
        <v>-0.96274541619341247</v>
      </c>
      <c r="R305" t="s">
        <v>1253</v>
      </c>
    </row>
    <row r="306" spans="1:18" x14ac:dyDescent="0.25">
      <c r="A306" s="33">
        <v>46028</v>
      </c>
      <c r="B306" s="1">
        <v>676266337004</v>
      </c>
      <c r="C306" s="2" t="s">
        <v>1251</v>
      </c>
      <c r="D306" s="34">
        <v>-166.36</v>
      </c>
      <c r="E306" t="s">
        <v>20</v>
      </c>
      <c r="F306" s="2" t="e">
        <f>VLOOKUP(Tabla3[[#This Row],[CONTABLE]],'SAPROV (2)'!L:M,2,FALSE)</f>
        <v>#N/A</v>
      </c>
      <c r="H306" t="s">
        <v>588</v>
      </c>
      <c r="I306" s="2" t="str">
        <f>VLOOKUP(Tabla3[[#This Row],[Deposito]],'SAPROV (2)'!D:E,2,FALSE)</f>
        <v>A01</v>
      </c>
      <c r="K306" s="23" t="s">
        <v>23</v>
      </c>
      <c r="L306" s="23" t="str">
        <f>VLOOKUP(Tabla3[[#This Row],[PROVEEDOR]],'SAPROV (2)'!A:B,2,FALSE)</f>
        <v>04</v>
      </c>
      <c r="M306" t="str">
        <f>VLOOKUP(Tabla3[[#This Row],[SERVICIO]],'SAPROV (2)'!I:J,2,FALSE)</f>
        <v>SERV0060</v>
      </c>
      <c r="N306" t="s">
        <v>611</v>
      </c>
      <c r="P306">
        <f>VLOOKUP(Tabla3[[#This Row],[FECHA]],TASA[],2,FALSE)</f>
        <v>308.14999999999998</v>
      </c>
      <c r="Q306" s="4">
        <f t="shared" si="34"/>
        <v>-0.53986694791497658</v>
      </c>
      <c r="R306" t="s">
        <v>1253</v>
      </c>
    </row>
    <row r="307" spans="1:18" x14ac:dyDescent="0.25">
      <c r="A307" s="33">
        <v>46028</v>
      </c>
      <c r="B307" s="1">
        <v>676266341006</v>
      </c>
      <c r="C307" s="2" t="s">
        <v>1251</v>
      </c>
      <c r="D307" s="34">
        <v>-86.24</v>
      </c>
      <c r="E307" t="s">
        <v>20</v>
      </c>
      <c r="F307" s="2" t="e">
        <f>VLOOKUP(Tabla3[[#This Row],[CONTABLE]],'SAPROV (2)'!L:M,2,FALSE)</f>
        <v>#N/A</v>
      </c>
      <c r="H307" t="s">
        <v>588</v>
      </c>
      <c r="I307" s="2" t="str">
        <f>VLOOKUP(Tabla3[[#This Row],[Deposito]],'SAPROV (2)'!D:E,2,FALSE)</f>
        <v>A01</v>
      </c>
      <c r="K307" s="23" t="s">
        <v>23</v>
      </c>
      <c r="L307" s="2" t="str">
        <f>VLOOKUP(Tabla3[[#This Row],[PROVEEDOR]],'SAPROV (2)'!A:B,2,FALSE)</f>
        <v>04</v>
      </c>
      <c r="M307" t="str">
        <f>VLOOKUP(Tabla3[[#This Row],[SERVICIO]],'SAPROV (2)'!I:J,2,FALSE)</f>
        <v>SERV0060</v>
      </c>
      <c r="N307" t="s">
        <v>611</v>
      </c>
      <c r="P307">
        <f>VLOOKUP(Tabla3[[#This Row],[FECHA]],TASA[],2,FALSE)</f>
        <v>308.14999999999998</v>
      </c>
      <c r="Q307" s="4">
        <f t="shared" si="34"/>
        <v>-0.27986370274217104</v>
      </c>
      <c r="R307" t="s">
        <v>1253</v>
      </c>
    </row>
    <row r="308" spans="1:18" x14ac:dyDescent="0.25">
      <c r="A308" s="33">
        <v>46028</v>
      </c>
      <c r="B308" s="1">
        <v>676292027006</v>
      </c>
      <c r="C308" s="2" t="s">
        <v>1251</v>
      </c>
      <c r="D308" s="34">
        <v>-33.200000000000003</v>
      </c>
      <c r="E308" t="s">
        <v>20</v>
      </c>
      <c r="F308" s="2" t="e">
        <f>VLOOKUP(Tabla3[[#This Row],[CONTABLE]],'SAPROV (2)'!L:M,2,FALSE)</f>
        <v>#N/A</v>
      </c>
      <c r="H308" t="s">
        <v>588</v>
      </c>
      <c r="I308" s="2" t="str">
        <f>VLOOKUP(Tabla3[[#This Row],[Deposito]],'SAPROV (2)'!D:E,2,FALSE)</f>
        <v>A01</v>
      </c>
      <c r="K308" s="23" t="s">
        <v>23</v>
      </c>
      <c r="L308" s="23" t="str">
        <f>VLOOKUP(Tabla3[[#This Row],[PROVEEDOR]],'SAPROV (2)'!A:B,2,FALSE)</f>
        <v>04</v>
      </c>
      <c r="M308" t="str">
        <f>VLOOKUP(Tabla3[[#This Row],[SERVICIO]],'SAPROV (2)'!I:J,2,FALSE)</f>
        <v>SERV0060</v>
      </c>
      <c r="N308" t="s">
        <v>611</v>
      </c>
      <c r="P308">
        <f>VLOOKUP(Tabla3[[#This Row],[FECHA]],TASA[],2,FALSE)</f>
        <v>308.14999999999998</v>
      </c>
      <c r="Q308" s="4">
        <f t="shared" ref="Q308:Q309" si="35">D308/P308</f>
        <v>-0.10773973714100278</v>
      </c>
      <c r="R308" t="s">
        <v>1253</v>
      </c>
    </row>
    <row r="309" spans="1:18" x14ac:dyDescent="0.25">
      <c r="A309" s="33">
        <v>46028</v>
      </c>
      <c r="B309" s="1">
        <v>676292022001</v>
      </c>
      <c r="C309" s="2" t="s">
        <v>1251</v>
      </c>
      <c r="D309" s="34">
        <v>-26.23</v>
      </c>
      <c r="E309" t="s">
        <v>20</v>
      </c>
      <c r="F309" s="2" t="e">
        <f>VLOOKUP(Tabla3[[#This Row],[CONTABLE]],'SAPROV (2)'!L:M,2,FALSE)</f>
        <v>#N/A</v>
      </c>
      <c r="H309" t="s">
        <v>588</v>
      </c>
      <c r="I309" s="2" t="str">
        <f>VLOOKUP(Tabla3[[#This Row],[Deposito]],'SAPROV (2)'!D:E,2,FALSE)</f>
        <v>A01</v>
      </c>
      <c r="K309" s="23" t="s">
        <v>23</v>
      </c>
      <c r="L309" s="23" t="str">
        <f>VLOOKUP(Tabla3[[#This Row],[PROVEEDOR]],'SAPROV (2)'!A:B,2,FALSE)</f>
        <v>04</v>
      </c>
      <c r="M309" t="str">
        <f>VLOOKUP(Tabla3[[#This Row],[SERVICIO]],'SAPROV (2)'!I:J,2,FALSE)</f>
        <v>SERV0060</v>
      </c>
      <c r="N309" t="s">
        <v>611</v>
      </c>
      <c r="P309">
        <f>VLOOKUP(Tabla3[[#This Row],[FECHA]],TASA[],2,FALSE)</f>
        <v>308.14999999999998</v>
      </c>
      <c r="Q309" s="4">
        <f t="shared" si="35"/>
        <v>-8.5120882687003088E-2</v>
      </c>
      <c r="R309" t="s">
        <v>1253</v>
      </c>
    </row>
    <row r="310" spans="1:18" x14ac:dyDescent="0.25">
      <c r="A310" s="33">
        <v>46028</v>
      </c>
      <c r="B310" s="1">
        <v>676292024003</v>
      </c>
      <c r="C310" s="2" t="s">
        <v>1251</v>
      </c>
      <c r="D310" s="34">
        <v>-203.8</v>
      </c>
      <c r="E310" t="s">
        <v>20</v>
      </c>
      <c r="F310" s="2" t="e">
        <f>VLOOKUP(Tabla3[[#This Row],[CONTABLE]],'SAPROV (2)'!L:M,2,FALSE)</f>
        <v>#N/A</v>
      </c>
      <c r="H310" t="s">
        <v>588</v>
      </c>
      <c r="I310" s="2" t="str">
        <f>VLOOKUP(Tabla3[[#This Row],[Deposito]],'SAPROV (2)'!D:E,2,FALSE)</f>
        <v>A01</v>
      </c>
      <c r="K310" s="23" t="s">
        <v>23</v>
      </c>
      <c r="L310" s="2" t="str">
        <f>VLOOKUP(Tabla3[[#This Row],[PROVEEDOR]],'SAPROV (2)'!A:B,2,FALSE)</f>
        <v>04</v>
      </c>
      <c r="M310" t="str">
        <f>VLOOKUP(Tabla3[[#This Row],[SERVICIO]],'SAPROV (2)'!I:J,2,FALSE)</f>
        <v>SERV0060</v>
      </c>
      <c r="N310" t="s">
        <v>611</v>
      </c>
      <c r="P310">
        <f>VLOOKUP(Tabla3[[#This Row],[FECHA]],TASA[],2,FALSE)</f>
        <v>308.14999999999998</v>
      </c>
      <c r="Q310" s="4">
        <f t="shared" ref="Q310:Q313" si="36">D310/P310</f>
        <v>-0.66136621775109539</v>
      </c>
      <c r="R310" t="s">
        <v>1253</v>
      </c>
    </row>
    <row r="311" spans="1:18" x14ac:dyDescent="0.25">
      <c r="A311" s="33">
        <v>46028</v>
      </c>
      <c r="B311" s="1">
        <v>676292026005</v>
      </c>
      <c r="C311" s="2" t="s">
        <v>1251</v>
      </c>
      <c r="D311" s="34">
        <v>-341.74</v>
      </c>
      <c r="E311" t="s">
        <v>20</v>
      </c>
      <c r="F311" s="2" t="e">
        <f>VLOOKUP(Tabla3[[#This Row],[CONTABLE]],'SAPROV (2)'!L:M,2,FALSE)</f>
        <v>#N/A</v>
      </c>
      <c r="H311" t="s">
        <v>588</v>
      </c>
      <c r="I311" s="2" t="str">
        <f>VLOOKUP(Tabla3[[#This Row],[Deposito]],'SAPROV (2)'!D:E,2,FALSE)</f>
        <v>A01</v>
      </c>
      <c r="K311" s="23" t="s">
        <v>23</v>
      </c>
      <c r="L311" s="23" t="str">
        <f>VLOOKUP(Tabla3[[#This Row],[PROVEEDOR]],'SAPROV (2)'!A:B,2,FALSE)</f>
        <v>04</v>
      </c>
      <c r="M311" t="str">
        <f>VLOOKUP(Tabla3[[#This Row],[SERVICIO]],'SAPROV (2)'!I:J,2,FALSE)</f>
        <v>SERV0060</v>
      </c>
      <c r="N311" t="s">
        <v>611</v>
      </c>
      <c r="P311">
        <f>VLOOKUP(Tabla3[[#This Row],[FECHA]],TASA[],2,FALSE)</f>
        <v>308.14999999999998</v>
      </c>
      <c r="Q311" s="4">
        <f t="shared" si="36"/>
        <v>-1.1090053545351291</v>
      </c>
      <c r="R311" t="s">
        <v>1253</v>
      </c>
    </row>
    <row r="312" spans="1:18" x14ac:dyDescent="0.25">
      <c r="A312" s="33">
        <v>46028</v>
      </c>
      <c r="B312" s="1">
        <v>676292023002</v>
      </c>
      <c r="C312" s="2" t="s">
        <v>1251</v>
      </c>
      <c r="D312" s="34">
        <v>-34.549999999999997</v>
      </c>
      <c r="E312" t="s">
        <v>20</v>
      </c>
      <c r="F312" s="2" t="e">
        <f>VLOOKUP(Tabla3[[#This Row],[CONTABLE]],'SAPROV (2)'!L:M,2,FALSE)</f>
        <v>#N/A</v>
      </c>
      <c r="H312" t="s">
        <v>588</v>
      </c>
      <c r="I312" s="2" t="str">
        <f>VLOOKUP(Tabla3[[#This Row],[Deposito]],'SAPROV (2)'!D:E,2,FALSE)</f>
        <v>A01</v>
      </c>
      <c r="K312" s="23" t="s">
        <v>23</v>
      </c>
      <c r="L312" s="23" t="str">
        <f>VLOOKUP(Tabla3[[#This Row],[PROVEEDOR]],'SAPROV (2)'!A:B,2,FALSE)</f>
        <v>04</v>
      </c>
      <c r="M312" t="str">
        <f>VLOOKUP(Tabla3[[#This Row],[SERVICIO]],'SAPROV (2)'!I:J,2,FALSE)</f>
        <v>SERV0060</v>
      </c>
      <c r="N312" t="s">
        <v>611</v>
      </c>
      <c r="P312">
        <f>VLOOKUP(Tabla3[[#This Row],[FECHA]],TASA[],2,FALSE)</f>
        <v>308.14999999999998</v>
      </c>
      <c r="Q312" s="4">
        <f t="shared" si="36"/>
        <v>-0.11212072042836281</v>
      </c>
      <c r="R312" t="s">
        <v>1253</v>
      </c>
    </row>
    <row r="313" spans="1:18" x14ac:dyDescent="0.25">
      <c r="A313" s="33">
        <v>46028</v>
      </c>
      <c r="B313" s="1">
        <v>676292025004</v>
      </c>
      <c r="C313" s="2" t="s">
        <v>1251</v>
      </c>
      <c r="D313" s="34">
        <v>-107.39</v>
      </c>
      <c r="E313" t="s">
        <v>20</v>
      </c>
      <c r="F313" s="2" t="e">
        <f>VLOOKUP(Tabla3[[#This Row],[CONTABLE]],'SAPROV (2)'!L:M,2,FALSE)</f>
        <v>#N/A</v>
      </c>
      <c r="H313" t="s">
        <v>588</v>
      </c>
      <c r="I313" s="2" t="str">
        <f>VLOOKUP(Tabla3[[#This Row],[Deposito]],'SAPROV (2)'!D:E,2,FALSE)</f>
        <v>A01</v>
      </c>
      <c r="K313" s="23" t="s">
        <v>23</v>
      </c>
      <c r="L313" s="2" t="str">
        <f>VLOOKUP(Tabla3[[#This Row],[PROVEEDOR]],'SAPROV (2)'!A:B,2,FALSE)</f>
        <v>04</v>
      </c>
      <c r="M313" t="str">
        <f>VLOOKUP(Tabla3[[#This Row],[SERVICIO]],'SAPROV (2)'!I:J,2,FALSE)</f>
        <v>SERV0060</v>
      </c>
      <c r="N313" t="s">
        <v>611</v>
      </c>
      <c r="P313">
        <f>VLOOKUP(Tabla3[[#This Row],[FECHA]],TASA[],2,FALSE)</f>
        <v>308.14999999999998</v>
      </c>
      <c r="Q313" s="4">
        <f t="shared" si="36"/>
        <v>-0.34849910757747854</v>
      </c>
      <c r="R313" t="s">
        <v>1253</v>
      </c>
    </row>
    <row r="314" spans="1:18" x14ac:dyDescent="0.25">
      <c r="A314" s="33">
        <v>46028</v>
      </c>
      <c r="B314" s="1">
        <v>676294540002</v>
      </c>
      <c r="C314" s="2" t="s">
        <v>1251</v>
      </c>
      <c r="D314" s="34">
        <v>-34.549999999999997</v>
      </c>
      <c r="E314" t="s">
        <v>20</v>
      </c>
      <c r="F314" s="2" t="e">
        <f>VLOOKUP(Tabla3[[#This Row],[CONTABLE]],'SAPROV (2)'!L:M,2,FALSE)</f>
        <v>#N/A</v>
      </c>
      <c r="H314" t="s">
        <v>588</v>
      </c>
      <c r="I314" s="2" t="str">
        <f>VLOOKUP(Tabla3[[#This Row],[Deposito]],'SAPROV (2)'!D:E,2,FALSE)</f>
        <v>A01</v>
      </c>
      <c r="K314" s="23" t="s">
        <v>23</v>
      </c>
      <c r="L314" s="23" t="str">
        <f>VLOOKUP(Tabla3[[#This Row],[PROVEEDOR]],'SAPROV (2)'!A:B,2,FALSE)</f>
        <v>04</v>
      </c>
      <c r="M314" t="str">
        <f>VLOOKUP(Tabla3[[#This Row],[SERVICIO]],'SAPROV (2)'!I:J,2,FALSE)</f>
        <v>SERV0060</v>
      </c>
      <c r="N314" t="s">
        <v>611</v>
      </c>
      <c r="P314">
        <f>VLOOKUP(Tabla3[[#This Row],[FECHA]],TASA[],2,FALSE)</f>
        <v>308.14999999999998</v>
      </c>
      <c r="Q314" s="4">
        <f>D314/P314</f>
        <v>-0.11212072042836281</v>
      </c>
      <c r="R314" t="s">
        <v>1253</v>
      </c>
    </row>
    <row r="315" spans="1:18" x14ac:dyDescent="0.25">
      <c r="A315" s="33">
        <v>46028</v>
      </c>
      <c r="B315" s="1">
        <v>676294539001</v>
      </c>
      <c r="C315" s="2" t="s">
        <v>1251</v>
      </c>
      <c r="D315" s="34">
        <v>-26.23</v>
      </c>
      <c r="E315" t="s">
        <v>20</v>
      </c>
      <c r="F315" s="2" t="e">
        <f>VLOOKUP(Tabla3[[#This Row],[CONTABLE]],'SAPROV (2)'!L:M,2,FALSE)</f>
        <v>#N/A</v>
      </c>
      <c r="H315" t="s">
        <v>588</v>
      </c>
      <c r="I315" s="2" t="str">
        <f>VLOOKUP(Tabla3[[#This Row],[Deposito]],'SAPROV (2)'!D:E,2,FALSE)</f>
        <v>A01</v>
      </c>
      <c r="K315" s="23" t="s">
        <v>23</v>
      </c>
      <c r="L315" s="23" t="str">
        <f>VLOOKUP(Tabla3[[#This Row],[PROVEEDOR]],'SAPROV (2)'!A:B,2,FALSE)</f>
        <v>04</v>
      </c>
      <c r="M315" t="str">
        <f>VLOOKUP(Tabla3[[#This Row],[SERVICIO]],'SAPROV (2)'!I:J,2,FALSE)</f>
        <v>SERV0060</v>
      </c>
      <c r="N315" t="s">
        <v>611</v>
      </c>
      <c r="P315">
        <f>VLOOKUP(Tabla3[[#This Row],[FECHA]],TASA[],2,FALSE)</f>
        <v>308.14999999999998</v>
      </c>
      <c r="Q315" s="4">
        <f>D315/P315</f>
        <v>-8.5120882687003088E-2</v>
      </c>
      <c r="R315" t="s">
        <v>1253</v>
      </c>
    </row>
    <row r="316" spans="1:18" x14ac:dyDescent="0.25">
      <c r="A316" s="33">
        <v>46028</v>
      </c>
      <c r="B316" s="1">
        <v>676294541003</v>
      </c>
      <c r="C316" s="2" t="s">
        <v>1251</v>
      </c>
      <c r="D316" s="34">
        <v>-341.74</v>
      </c>
      <c r="E316" t="s">
        <v>20</v>
      </c>
      <c r="F316" s="2" t="e">
        <f>VLOOKUP(Tabla3[[#This Row],[CONTABLE]],'SAPROV (2)'!L:M,2,FALSE)</f>
        <v>#N/A</v>
      </c>
      <c r="H316" t="s">
        <v>588</v>
      </c>
      <c r="I316" s="2" t="str">
        <f>VLOOKUP(Tabla3[[#This Row],[Deposito]],'SAPROV (2)'!D:E,2,FALSE)</f>
        <v>A01</v>
      </c>
      <c r="K316" s="23" t="s">
        <v>23</v>
      </c>
      <c r="L316" s="2" t="str">
        <f>VLOOKUP(Tabla3[[#This Row],[PROVEEDOR]],'SAPROV (2)'!A:B,2,FALSE)</f>
        <v>04</v>
      </c>
      <c r="M316" t="str">
        <f>VLOOKUP(Tabla3[[#This Row],[SERVICIO]],'SAPROV (2)'!I:J,2,FALSE)</f>
        <v>SERV0060</v>
      </c>
      <c r="N316" t="s">
        <v>611</v>
      </c>
      <c r="P316">
        <f>VLOOKUP(Tabla3[[#This Row],[FECHA]],TASA[],2,FALSE)</f>
        <v>308.14999999999998</v>
      </c>
      <c r="Q316" s="4">
        <f>D316/P316</f>
        <v>-1.1090053545351291</v>
      </c>
      <c r="R316" t="s">
        <v>1253</v>
      </c>
    </row>
    <row r="317" spans="1:18" x14ac:dyDescent="0.25">
      <c r="A317" s="33">
        <v>46029</v>
      </c>
      <c r="B317" s="1">
        <v>676299999006</v>
      </c>
      <c r="C317" s="2" t="s">
        <v>1251</v>
      </c>
      <c r="D317" s="34">
        <v>-389.22</v>
      </c>
      <c r="E317" t="s">
        <v>20</v>
      </c>
      <c r="F317" s="2" t="e">
        <f>VLOOKUP(Tabla3[[#This Row],[CONTABLE]],'SAPROV (2)'!L:M,2,FALSE)</f>
        <v>#N/A</v>
      </c>
      <c r="H317" t="s">
        <v>588</v>
      </c>
      <c r="I317" s="2" t="str">
        <f>VLOOKUP(Tabla3[[#This Row],[Deposito]],'SAPROV (2)'!D:E,2,FALSE)</f>
        <v>A01</v>
      </c>
      <c r="K317" s="23" t="s">
        <v>23</v>
      </c>
      <c r="L317" s="23" t="str">
        <f>VLOOKUP(Tabla3[[#This Row],[PROVEEDOR]],'SAPROV (2)'!A:B,2,FALSE)</f>
        <v>04</v>
      </c>
      <c r="M317" t="str">
        <f>VLOOKUP(Tabla3[[#This Row],[SERVICIO]],'SAPROV (2)'!I:J,2,FALSE)</f>
        <v>SERV0060</v>
      </c>
      <c r="N317" t="s">
        <v>611</v>
      </c>
      <c r="P317">
        <f>VLOOKUP(Tabla3[[#This Row],[FECHA]],TASA[],2,FALSE)</f>
        <v>311.88</v>
      </c>
      <c r="Q317" s="4">
        <f t="shared" ref="Q317:Q318" si="37">D317/P317</f>
        <v>-1.2479799923047328</v>
      </c>
      <c r="R317" t="s">
        <v>1253</v>
      </c>
    </row>
    <row r="318" spans="1:18" x14ac:dyDescent="0.25">
      <c r="A318" s="33">
        <v>46029</v>
      </c>
      <c r="B318" s="1">
        <v>676200000007</v>
      </c>
      <c r="C318" s="2" t="s">
        <v>1251</v>
      </c>
      <c r="D318" s="34">
        <v>-80.88</v>
      </c>
      <c r="E318" t="s">
        <v>20</v>
      </c>
      <c r="F318" s="2" t="e">
        <f>VLOOKUP(Tabla3[[#This Row],[CONTABLE]],'SAPROV (2)'!L:M,2,FALSE)</f>
        <v>#N/A</v>
      </c>
      <c r="H318" t="s">
        <v>588</v>
      </c>
      <c r="I318" s="2" t="str">
        <f>VLOOKUP(Tabla3[[#This Row],[Deposito]],'SAPROV (2)'!D:E,2,FALSE)</f>
        <v>A01</v>
      </c>
      <c r="K318" s="23" t="s">
        <v>23</v>
      </c>
      <c r="L318" s="23" t="str">
        <f>VLOOKUP(Tabla3[[#This Row],[PROVEEDOR]],'SAPROV (2)'!A:B,2,FALSE)</f>
        <v>04</v>
      </c>
      <c r="M318" t="str">
        <f>VLOOKUP(Tabla3[[#This Row],[SERVICIO]],'SAPROV (2)'!I:J,2,FALSE)</f>
        <v>SERV0060</v>
      </c>
      <c r="N318" t="s">
        <v>611</v>
      </c>
      <c r="P318">
        <f>VLOOKUP(Tabla3[[#This Row],[FECHA]],TASA[],2,FALSE)</f>
        <v>311.88</v>
      </c>
      <c r="Q318" s="4">
        <f t="shared" si="37"/>
        <v>-0.25933051173528276</v>
      </c>
      <c r="R318" t="s">
        <v>1253</v>
      </c>
    </row>
    <row r="319" spans="1:18" x14ac:dyDescent="0.25">
      <c r="A319" s="33">
        <v>46029</v>
      </c>
      <c r="B319" s="1">
        <v>676299996003</v>
      </c>
      <c r="C319" s="2" t="s">
        <v>1251</v>
      </c>
      <c r="D319" s="34">
        <v>-832.5</v>
      </c>
      <c r="E319" t="s">
        <v>20</v>
      </c>
      <c r="F319" s="2" t="e">
        <f>VLOOKUP(Tabla3[[#This Row],[CONTABLE]],'SAPROV (2)'!L:M,2,FALSE)</f>
        <v>#N/A</v>
      </c>
      <c r="H319" t="s">
        <v>588</v>
      </c>
      <c r="I319" s="2" t="str">
        <f>VLOOKUP(Tabla3[[#This Row],[Deposito]],'SAPROV (2)'!D:E,2,FALSE)</f>
        <v>A01</v>
      </c>
      <c r="K319" s="23" t="s">
        <v>23</v>
      </c>
      <c r="L319" s="2" t="str">
        <f>VLOOKUP(Tabla3[[#This Row],[PROVEEDOR]],'SAPROV (2)'!A:B,2,FALSE)</f>
        <v>04</v>
      </c>
      <c r="M319" t="str">
        <f>VLOOKUP(Tabla3[[#This Row],[SERVICIO]],'SAPROV (2)'!I:J,2,FALSE)</f>
        <v>SERV0060</v>
      </c>
      <c r="N319" t="s">
        <v>611</v>
      </c>
      <c r="P319">
        <f>VLOOKUP(Tabla3[[#This Row],[FECHA]],TASA[],2,FALSE)</f>
        <v>311.88</v>
      </c>
      <c r="Q319" s="4">
        <f t="shared" ref="Q319:Q326" si="38">D319/P319</f>
        <v>-2.6692958830319355</v>
      </c>
      <c r="R319" t="s">
        <v>1253</v>
      </c>
    </row>
    <row r="320" spans="1:18" x14ac:dyDescent="0.25">
      <c r="A320" s="33">
        <v>46029</v>
      </c>
      <c r="B320" s="1">
        <v>676299995002</v>
      </c>
      <c r="C320" s="2" t="s">
        <v>1251</v>
      </c>
      <c r="D320" s="34">
        <v>-586.64</v>
      </c>
      <c r="E320" t="s">
        <v>20</v>
      </c>
      <c r="F320" s="2" t="e">
        <f>VLOOKUP(Tabla3[[#This Row],[CONTABLE]],'SAPROV (2)'!L:M,2,FALSE)</f>
        <v>#N/A</v>
      </c>
      <c r="H320" t="s">
        <v>588</v>
      </c>
      <c r="I320" s="2" t="str">
        <f>VLOOKUP(Tabla3[[#This Row],[Deposito]],'SAPROV (2)'!D:E,2,FALSE)</f>
        <v>A01</v>
      </c>
      <c r="K320" s="23" t="s">
        <v>23</v>
      </c>
      <c r="L320" s="23" t="str">
        <f>VLOOKUP(Tabla3[[#This Row],[PROVEEDOR]],'SAPROV (2)'!A:B,2,FALSE)</f>
        <v>04</v>
      </c>
      <c r="M320" t="str">
        <f>VLOOKUP(Tabla3[[#This Row],[SERVICIO]],'SAPROV (2)'!I:J,2,FALSE)</f>
        <v>SERV0060</v>
      </c>
      <c r="N320" t="s">
        <v>611</v>
      </c>
      <c r="P320">
        <f>VLOOKUP(Tabla3[[#This Row],[FECHA]],TASA[],2,FALSE)</f>
        <v>311.88</v>
      </c>
      <c r="Q320" s="4">
        <f t="shared" si="38"/>
        <v>-1.8809798640502757</v>
      </c>
      <c r="R320" t="s">
        <v>1253</v>
      </c>
    </row>
    <row r="321" spans="1:18" x14ac:dyDescent="0.25">
      <c r="A321" s="33">
        <v>46029</v>
      </c>
      <c r="B321" s="1">
        <v>676299994001</v>
      </c>
      <c r="C321" s="2" t="s">
        <v>1251</v>
      </c>
      <c r="D321" s="34">
        <v>-158.61000000000001</v>
      </c>
      <c r="E321" t="s">
        <v>20</v>
      </c>
      <c r="F321" s="2" t="e">
        <f>VLOOKUP(Tabla3[[#This Row],[CONTABLE]],'SAPROV (2)'!L:M,2,FALSE)</f>
        <v>#N/A</v>
      </c>
      <c r="H321" t="s">
        <v>588</v>
      </c>
      <c r="I321" s="2" t="str">
        <f>VLOOKUP(Tabla3[[#This Row],[Deposito]],'SAPROV (2)'!D:E,2,FALSE)</f>
        <v>A01</v>
      </c>
      <c r="K321" s="23" t="s">
        <v>23</v>
      </c>
      <c r="L321" s="23" t="str">
        <f>VLOOKUP(Tabla3[[#This Row],[PROVEEDOR]],'SAPROV (2)'!A:B,2,FALSE)</f>
        <v>04</v>
      </c>
      <c r="M321" t="str">
        <f>VLOOKUP(Tabla3[[#This Row],[SERVICIO]],'SAPROV (2)'!I:J,2,FALSE)</f>
        <v>SERV0060</v>
      </c>
      <c r="N321" t="s">
        <v>611</v>
      </c>
      <c r="P321">
        <f>VLOOKUP(Tabla3[[#This Row],[FECHA]],TASA[],2,FALSE)</f>
        <v>311.88</v>
      </c>
      <c r="Q321" s="4">
        <f t="shared" si="38"/>
        <v>-0.50856098499422864</v>
      </c>
      <c r="R321" t="s">
        <v>1253</v>
      </c>
    </row>
    <row r="322" spans="1:18" x14ac:dyDescent="0.25">
      <c r="A322" s="33">
        <v>46029</v>
      </c>
      <c r="B322" s="1">
        <v>676299997004</v>
      </c>
      <c r="C322" s="2" t="s">
        <v>1251</v>
      </c>
      <c r="D322" s="34">
        <v>-79.36</v>
      </c>
      <c r="E322" t="s">
        <v>20</v>
      </c>
      <c r="F322" s="2" t="e">
        <f>VLOOKUP(Tabla3[[#This Row],[CONTABLE]],'SAPROV (2)'!L:M,2,FALSE)</f>
        <v>#N/A</v>
      </c>
      <c r="H322" t="s">
        <v>588</v>
      </c>
      <c r="I322" s="2" t="str">
        <f>VLOOKUP(Tabla3[[#This Row],[Deposito]],'SAPROV (2)'!D:E,2,FALSE)</f>
        <v>A01</v>
      </c>
      <c r="K322" s="23" t="s">
        <v>23</v>
      </c>
      <c r="L322" s="2" t="str">
        <f>VLOOKUP(Tabla3[[#This Row],[PROVEEDOR]],'SAPROV (2)'!A:B,2,FALSE)</f>
        <v>04</v>
      </c>
      <c r="M322" t="str">
        <f>VLOOKUP(Tabla3[[#This Row],[SERVICIO]],'SAPROV (2)'!I:J,2,FALSE)</f>
        <v>SERV0060</v>
      </c>
      <c r="N322" t="s">
        <v>611</v>
      </c>
      <c r="P322">
        <f>VLOOKUP(Tabla3[[#This Row],[FECHA]],TASA[],2,FALSE)</f>
        <v>311.88</v>
      </c>
      <c r="Q322" s="4">
        <f t="shared" si="38"/>
        <v>-0.25445684237527255</v>
      </c>
      <c r="R322" t="s">
        <v>1253</v>
      </c>
    </row>
    <row r="323" spans="1:18" x14ac:dyDescent="0.25">
      <c r="A323" s="33">
        <v>46029</v>
      </c>
      <c r="B323" s="1">
        <v>676299998005</v>
      </c>
      <c r="C323" s="2" t="s">
        <v>1251</v>
      </c>
      <c r="D323" s="34">
        <v>-66.66</v>
      </c>
      <c r="E323" t="s">
        <v>20</v>
      </c>
      <c r="F323" s="2" t="e">
        <f>VLOOKUP(Tabla3[[#This Row],[CONTABLE]],'SAPROV (2)'!L:M,2,FALSE)</f>
        <v>#N/A</v>
      </c>
      <c r="H323" t="s">
        <v>588</v>
      </c>
      <c r="I323" s="2" t="str">
        <f>VLOOKUP(Tabla3[[#This Row],[Deposito]],'SAPROV (2)'!D:E,2,FALSE)</f>
        <v>A01</v>
      </c>
      <c r="K323" s="23" t="s">
        <v>23</v>
      </c>
      <c r="L323" s="23" t="str">
        <f>VLOOKUP(Tabla3[[#This Row],[PROVEEDOR]],'SAPROV (2)'!A:B,2,FALSE)</f>
        <v>04</v>
      </c>
      <c r="M323" t="str">
        <f>VLOOKUP(Tabla3[[#This Row],[SERVICIO]],'SAPROV (2)'!I:J,2,FALSE)</f>
        <v>SERV0060</v>
      </c>
      <c r="N323" t="s">
        <v>611</v>
      </c>
      <c r="P323">
        <f>VLOOKUP(Tabla3[[#This Row],[FECHA]],TASA[],2,FALSE)</f>
        <v>311.88</v>
      </c>
      <c r="Q323" s="4">
        <f t="shared" si="38"/>
        <v>-0.21373605232781839</v>
      </c>
      <c r="R323" t="s">
        <v>1253</v>
      </c>
    </row>
    <row r="324" spans="1:18" x14ac:dyDescent="0.25">
      <c r="A324" s="33">
        <v>46029</v>
      </c>
      <c r="B324" s="1">
        <v>676200002009</v>
      </c>
      <c r="C324" s="2" t="s">
        <v>1251</v>
      </c>
      <c r="D324" s="34">
        <v>-63.7</v>
      </c>
      <c r="E324" t="s">
        <v>20</v>
      </c>
      <c r="F324" s="2" t="e">
        <f>VLOOKUP(Tabla3[[#This Row],[CONTABLE]],'SAPROV (2)'!L:M,2,FALSE)</f>
        <v>#N/A</v>
      </c>
      <c r="H324" t="s">
        <v>588</v>
      </c>
      <c r="I324" s="2" t="str">
        <f>VLOOKUP(Tabla3[[#This Row],[Deposito]],'SAPROV (2)'!D:E,2,FALSE)</f>
        <v>A01</v>
      </c>
      <c r="K324" s="23" t="s">
        <v>23</v>
      </c>
      <c r="L324" s="23" t="str">
        <f>VLOOKUP(Tabla3[[#This Row],[PROVEEDOR]],'SAPROV (2)'!A:B,2,FALSE)</f>
        <v>04</v>
      </c>
      <c r="M324" t="str">
        <f>VLOOKUP(Tabla3[[#This Row],[SERVICIO]],'SAPROV (2)'!I:J,2,FALSE)</f>
        <v>SERV0060</v>
      </c>
      <c r="N324" t="s">
        <v>611</v>
      </c>
      <c r="P324">
        <f>VLOOKUP(Tabla3[[#This Row],[FECHA]],TASA[],2,FALSE)</f>
        <v>311.88</v>
      </c>
      <c r="Q324" s="4">
        <f t="shared" si="38"/>
        <v>-0.20424522252148264</v>
      </c>
      <c r="R324" t="s">
        <v>1253</v>
      </c>
    </row>
    <row r="325" spans="1:18" x14ac:dyDescent="0.25">
      <c r="A325" s="33">
        <v>46029</v>
      </c>
      <c r="B325" s="1">
        <v>676200001008</v>
      </c>
      <c r="C325" s="2" t="s">
        <v>1251</v>
      </c>
      <c r="D325" s="34">
        <v>-24.4</v>
      </c>
      <c r="E325" t="s">
        <v>20</v>
      </c>
      <c r="F325" s="2" t="e">
        <f>VLOOKUP(Tabla3[[#This Row],[CONTABLE]],'SAPROV (2)'!L:M,2,FALSE)</f>
        <v>#N/A</v>
      </c>
      <c r="H325" t="s">
        <v>588</v>
      </c>
      <c r="I325" s="2" t="str">
        <f>VLOOKUP(Tabla3[[#This Row],[Deposito]],'SAPROV (2)'!D:E,2,FALSE)</f>
        <v>A01</v>
      </c>
      <c r="K325" s="23" t="s">
        <v>23</v>
      </c>
      <c r="L325" s="2" t="str">
        <f>VLOOKUP(Tabla3[[#This Row],[PROVEEDOR]],'SAPROV (2)'!A:B,2,FALSE)</f>
        <v>04</v>
      </c>
      <c r="M325" t="str">
        <f>VLOOKUP(Tabla3[[#This Row],[SERVICIO]],'SAPROV (2)'!I:J,2,FALSE)</f>
        <v>SERV0060</v>
      </c>
      <c r="N325" t="s">
        <v>611</v>
      </c>
      <c r="P325">
        <f>VLOOKUP(Tabla3[[#This Row],[FECHA]],TASA[],2,FALSE)</f>
        <v>311.88</v>
      </c>
      <c r="Q325" s="4">
        <f t="shared" si="38"/>
        <v>-7.8235218673848916E-2</v>
      </c>
      <c r="R325" t="s">
        <v>1253</v>
      </c>
    </row>
    <row r="326" spans="1:18" x14ac:dyDescent="0.25">
      <c r="A326" s="33">
        <v>46030</v>
      </c>
      <c r="B326" s="1">
        <v>676273452003</v>
      </c>
      <c r="C326" s="2" t="s">
        <v>1251</v>
      </c>
      <c r="D326" s="34">
        <v>-2500</v>
      </c>
      <c r="E326" t="s">
        <v>20</v>
      </c>
      <c r="F326" s="2" t="e">
        <f>VLOOKUP(Tabla3[[#This Row],[CONTABLE]],'SAPROV (2)'!L:M,2,FALSE)</f>
        <v>#N/A</v>
      </c>
      <c r="H326" t="s">
        <v>588</v>
      </c>
      <c r="I326" s="2" t="str">
        <f>VLOOKUP(Tabla3[[#This Row],[Deposito]],'SAPROV (2)'!D:E,2,FALSE)</f>
        <v>A01</v>
      </c>
      <c r="K326" s="23" t="s">
        <v>23</v>
      </c>
      <c r="L326" s="23" t="str">
        <f>VLOOKUP(Tabla3[[#This Row],[PROVEEDOR]],'SAPROV (2)'!A:B,2,FALSE)</f>
        <v>04</v>
      </c>
      <c r="M326" t="str">
        <f>VLOOKUP(Tabla3[[#This Row],[SERVICIO]],'SAPROV (2)'!I:J,2,FALSE)</f>
        <v>SERV0060</v>
      </c>
      <c r="N326" t="s">
        <v>611</v>
      </c>
      <c r="P326">
        <f>VLOOKUP(Tabla3[[#This Row],[FECHA]],TASA[],2,FALSE)</f>
        <v>321.02999999999997</v>
      </c>
      <c r="Q326" s="4">
        <f t="shared" si="38"/>
        <v>-7.7874341961810432</v>
      </c>
      <c r="R326" t="s">
        <v>1253</v>
      </c>
    </row>
    <row r="327" spans="1:18" x14ac:dyDescent="0.25">
      <c r="A327" s="33">
        <v>46030</v>
      </c>
      <c r="B327" s="1">
        <v>676273458009</v>
      </c>
      <c r="C327" s="2" t="s">
        <v>1251</v>
      </c>
      <c r="D327" s="34">
        <v>-2500</v>
      </c>
      <c r="E327" t="s">
        <v>20</v>
      </c>
      <c r="F327" s="2" t="e">
        <f>VLOOKUP(Tabla3[[#This Row],[CONTABLE]],'SAPROV (2)'!L:M,2,FALSE)</f>
        <v>#N/A</v>
      </c>
      <c r="H327" t="s">
        <v>588</v>
      </c>
      <c r="I327" s="2" t="str">
        <f>VLOOKUP(Tabla3[[#This Row],[Deposito]],'SAPROV (2)'!D:E,2,FALSE)</f>
        <v>A01</v>
      </c>
      <c r="K327" s="23" t="s">
        <v>23</v>
      </c>
      <c r="L327" s="23" t="str">
        <f>VLOOKUP(Tabla3[[#This Row],[PROVEEDOR]],'SAPROV (2)'!A:B,2,FALSE)</f>
        <v>04</v>
      </c>
      <c r="M327" t="str">
        <f>VLOOKUP(Tabla3[[#This Row],[SERVICIO]],'SAPROV (2)'!I:J,2,FALSE)</f>
        <v>SERV0060</v>
      </c>
      <c r="N327" t="s">
        <v>611</v>
      </c>
      <c r="P327">
        <f>VLOOKUP(Tabla3[[#This Row],[FECHA]],TASA[],2,FALSE)</f>
        <v>321.02999999999997</v>
      </c>
      <c r="Q327" s="4">
        <f t="shared" ref="Q327:Q328" si="39">D327/P327</f>
        <v>-7.7874341961810432</v>
      </c>
      <c r="R327" t="s">
        <v>1253</v>
      </c>
    </row>
    <row r="328" spans="1:18" x14ac:dyDescent="0.25">
      <c r="A328" s="33">
        <v>46030</v>
      </c>
      <c r="B328" s="1">
        <v>676273461012</v>
      </c>
      <c r="C328" s="2" t="s">
        <v>1251</v>
      </c>
      <c r="D328" s="34">
        <v>-2500</v>
      </c>
      <c r="E328" t="s">
        <v>20</v>
      </c>
      <c r="F328" s="2" t="e">
        <f>VLOOKUP(Tabla3[[#This Row],[CONTABLE]],'SAPROV (2)'!L:M,2,FALSE)</f>
        <v>#N/A</v>
      </c>
      <c r="H328" t="s">
        <v>588</v>
      </c>
      <c r="I328" s="2" t="str">
        <f>VLOOKUP(Tabla3[[#This Row],[Deposito]],'SAPROV (2)'!D:E,2,FALSE)</f>
        <v>A01</v>
      </c>
      <c r="K328" s="23" t="s">
        <v>23</v>
      </c>
      <c r="L328" s="2" t="str">
        <f>VLOOKUP(Tabla3[[#This Row],[PROVEEDOR]],'SAPROV (2)'!A:B,2,FALSE)</f>
        <v>04</v>
      </c>
      <c r="M328" t="str">
        <f>VLOOKUP(Tabla3[[#This Row],[SERVICIO]],'SAPROV (2)'!I:J,2,FALSE)</f>
        <v>SERV0060</v>
      </c>
      <c r="N328" t="s">
        <v>611</v>
      </c>
      <c r="P328">
        <f>VLOOKUP(Tabla3[[#This Row],[FECHA]],TASA[],2,FALSE)</f>
        <v>321.02999999999997</v>
      </c>
      <c r="Q328" s="4">
        <f t="shared" si="39"/>
        <v>-7.7874341961810432</v>
      </c>
      <c r="R328" t="s">
        <v>1253</v>
      </c>
    </row>
    <row r="329" spans="1:18" x14ac:dyDescent="0.25">
      <c r="A329" s="33">
        <v>46030</v>
      </c>
      <c r="B329" s="1">
        <v>676273455006</v>
      </c>
      <c r="C329" s="2" t="s">
        <v>1251</v>
      </c>
      <c r="D329" s="34">
        <v>-2500</v>
      </c>
      <c r="E329" t="s">
        <v>20</v>
      </c>
      <c r="F329" s="2" t="e">
        <f>VLOOKUP(Tabla3[[#This Row],[CONTABLE]],'SAPROV (2)'!L:M,2,FALSE)</f>
        <v>#N/A</v>
      </c>
      <c r="H329" t="s">
        <v>588</v>
      </c>
      <c r="I329" s="2" t="str">
        <f>VLOOKUP(Tabla3[[#This Row],[Deposito]],'SAPROV (2)'!D:E,2,FALSE)</f>
        <v>A01</v>
      </c>
      <c r="K329" s="23" t="s">
        <v>23</v>
      </c>
      <c r="L329" s="23" t="str">
        <f>VLOOKUP(Tabla3[[#This Row],[PROVEEDOR]],'SAPROV (2)'!A:B,2,FALSE)</f>
        <v>04</v>
      </c>
      <c r="M329" t="str">
        <f>VLOOKUP(Tabla3[[#This Row],[SERVICIO]],'SAPROV (2)'!I:J,2,FALSE)</f>
        <v>SERV0060</v>
      </c>
      <c r="N329" t="s">
        <v>611</v>
      </c>
      <c r="P329">
        <f>VLOOKUP(Tabla3[[#This Row],[FECHA]],TASA[],2,FALSE)</f>
        <v>321.02999999999997</v>
      </c>
      <c r="Q329" s="4">
        <f t="shared" ref="Q329:Q330" si="40">D329/P329</f>
        <v>-7.7874341961810432</v>
      </c>
      <c r="R329" t="s">
        <v>1253</v>
      </c>
    </row>
    <row r="330" spans="1:18" x14ac:dyDescent="0.25">
      <c r="A330" s="33">
        <v>46030</v>
      </c>
      <c r="B330" s="1">
        <v>676273454005</v>
      </c>
      <c r="C330" s="2" t="s">
        <v>1251</v>
      </c>
      <c r="D330" s="34">
        <v>-2500</v>
      </c>
      <c r="E330" t="s">
        <v>20</v>
      </c>
      <c r="F330" s="2" t="e">
        <f>VLOOKUP(Tabla3[[#This Row],[CONTABLE]],'SAPROV (2)'!L:M,2,FALSE)</f>
        <v>#N/A</v>
      </c>
      <c r="H330" t="s">
        <v>588</v>
      </c>
      <c r="I330" s="2" t="str">
        <f>VLOOKUP(Tabla3[[#This Row],[Deposito]],'SAPROV (2)'!D:E,2,FALSE)</f>
        <v>A01</v>
      </c>
      <c r="K330" s="23" t="s">
        <v>23</v>
      </c>
      <c r="L330" s="23" t="str">
        <f>VLOOKUP(Tabla3[[#This Row],[PROVEEDOR]],'SAPROV (2)'!A:B,2,FALSE)</f>
        <v>04</v>
      </c>
      <c r="M330" t="str">
        <f>VLOOKUP(Tabla3[[#This Row],[SERVICIO]],'SAPROV (2)'!I:J,2,FALSE)</f>
        <v>SERV0060</v>
      </c>
      <c r="N330" t="s">
        <v>611</v>
      </c>
      <c r="P330">
        <f>VLOOKUP(Tabla3[[#This Row],[FECHA]],TASA[],2,FALSE)</f>
        <v>321.02999999999997</v>
      </c>
      <c r="Q330" s="4">
        <f t="shared" si="40"/>
        <v>-7.7874341961810432</v>
      </c>
      <c r="R330" t="s">
        <v>1253</v>
      </c>
    </row>
    <row r="331" spans="1:18" x14ac:dyDescent="0.25">
      <c r="A331" s="33">
        <v>46030</v>
      </c>
      <c r="B331" s="1">
        <v>676273457008</v>
      </c>
      <c r="C331" s="2" t="s">
        <v>1251</v>
      </c>
      <c r="D331" s="34">
        <v>-2500</v>
      </c>
      <c r="E331" t="s">
        <v>20</v>
      </c>
      <c r="F331" s="2" t="e">
        <f>VLOOKUP(Tabla3[[#This Row],[CONTABLE]],'SAPROV (2)'!L:M,2,FALSE)</f>
        <v>#N/A</v>
      </c>
      <c r="H331" t="s">
        <v>588</v>
      </c>
      <c r="I331" s="2" t="str">
        <f>VLOOKUP(Tabla3[[#This Row],[Deposito]],'SAPROV (2)'!D:E,2,FALSE)</f>
        <v>A01</v>
      </c>
      <c r="K331" s="23" t="s">
        <v>23</v>
      </c>
      <c r="L331" s="2" t="str">
        <f>VLOOKUP(Tabla3[[#This Row],[PROVEEDOR]],'SAPROV (2)'!A:B,2,FALSE)</f>
        <v>04</v>
      </c>
      <c r="M331" t="str">
        <f>VLOOKUP(Tabla3[[#This Row],[SERVICIO]],'SAPROV (2)'!I:J,2,FALSE)</f>
        <v>SERV0060</v>
      </c>
      <c r="N331" t="s">
        <v>611</v>
      </c>
      <c r="P331">
        <f>VLOOKUP(Tabla3[[#This Row],[FECHA]],TASA[],2,FALSE)</f>
        <v>321.02999999999997</v>
      </c>
      <c r="Q331" s="4">
        <f t="shared" ref="Q331:Q332" si="41">D331/P331</f>
        <v>-7.7874341961810432</v>
      </c>
      <c r="R331" t="s">
        <v>1253</v>
      </c>
    </row>
    <row r="332" spans="1:18" x14ac:dyDescent="0.25">
      <c r="A332" s="33">
        <v>46030</v>
      </c>
      <c r="B332" s="1">
        <v>676273456007</v>
      </c>
      <c r="C332" s="2" t="s">
        <v>1251</v>
      </c>
      <c r="D332" s="34">
        <v>-2500</v>
      </c>
      <c r="E332" t="s">
        <v>20</v>
      </c>
      <c r="F332" s="2" t="e">
        <f>VLOOKUP(Tabla3[[#This Row],[CONTABLE]],'SAPROV (2)'!L:M,2,FALSE)</f>
        <v>#N/A</v>
      </c>
      <c r="H332" t="s">
        <v>588</v>
      </c>
      <c r="I332" s="2" t="str">
        <f>VLOOKUP(Tabla3[[#This Row],[Deposito]],'SAPROV (2)'!D:E,2,FALSE)</f>
        <v>A01</v>
      </c>
      <c r="K332" s="23" t="s">
        <v>23</v>
      </c>
      <c r="L332" s="23" t="str">
        <f>VLOOKUP(Tabla3[[#This Row],[PROVEEDOR]],'SAPROV (2)'!A:B,2,FALSE)</f>
        <v>04</v>
      </c>
      <c r="M332" t="str">
        <f>VLOOKUP(Tabla3[[#This Row],[SERVICIO]],'SAPROV (2)'!I:J,2,FALSE)</f>
        <v>SERV0060</v>
      </c>
      <c r="N332" t="s">
        <v>611</v>
      </c>
      <c r="P332">
        <f>VLOOKUP(Tabla3[[#This Row],[FECHA]],TASA[],2,FALSE)</f>
        <v>321.02999999999997</v>
      </c>
      <c r="Q332" s="4">
        <f t="shared" si="41"/>
        <v>-7.7874341961810432</v>
      </c>
      <c r="R332" t="s">
        <v>1253</v>
      </c>
    </row>
    <row r="333" spans="1:18" x14ac:dyDescent="0.25">
      <c r="A333" s="33">
        <v>46030</v>
      </c>
      <c r="B333" s="1">
        <v>676273453004</v>
      </c>
      <c r="C333" s="2" t="s">
        <v>1251</v>
      </c>
      <c r="D333" s="34">
        <v>-2500</v>
      </c>
      <c r="E333" t="s">
        <v>20</v>
      </c>
      <c r="F333" s="2" t="e">
        <f>VLOOKUP(Tabla3[[#This Row],[CONTABLE]],'SAPROV (2)'!L:M,2,FALSE)</f>
        <v>#N/A</v>
      </c>
      <c r="H333" t="s">
        <v>588</v>
      </c>
      <c r="I333" s="2" t="str">
        <f>VLOOKUP(Tabla3[[#This Row],[Deposito]],'SAPROV (2)'!D:E,2,FALSE)</f>
        <v>A01</v>
      </c>
      <c r="K333" s="23" t="s">
        <v>23</v>
      </c>
      <c r="L333" s="23" t="str">
        <f>VLOOKUP(Tabla3[[#This Row],[PROVEEDOR]],'SAPROV (2)'!A:B,2,FALSE)</f>
        <v>04</v>
      </c>
      <c r="M333" t="str">
        <f>VLOOKUP(Tabla3[[#This Row],[SERVICIO]],'SAPROV (2)'!I:J,2,FALSE)</f>
        <v>SERV0060</v>
      </c>
      <c r="N333" t="s">
        <v>611</v>
      </c>
      <c r="P333">
        <f>VLOOKUP(Tabla3[[#This Row],[FECHA]],TASA[],2,FALSE)</f>
        <v>321.02999999999997</v>
      </c>
      <c r="Q333" s="4">
        <f t="shared" ref="Q333:Q353" si="42">D333/P333</f>
        <v>-7.7874341961810432</v>
      </c>
      <c r="R333" t="s">
        <v>1253</v>
      </c>
    </row>
    <row r="334" spans="1:18" x14ac:dyDescent="0.25">
      <c r="A334" s="33">
        <v>46030</v>
      </c>
      <c r="B334" s="1">
        <v>676273451002</v>
      </c>
      <c r="C334" s="2" t="s">
        <v>1251</v>
      </c>
      <c r="D334" s="34">
        <v>-2500</v>
      </c>
      <c r="E334" t="s">
        <v>20</v>
      </c>
      <c r="F334" s="2" t="e">
        <f>VLOOKUP(Tabla3[[#This Row],[CONTABLE]],'SAPROV (2)'!L:M,2,FALSE)</f>
        <v>#N/A</v>
      </c>
      <c r="H334" t="s">
        <v>588</v>
      </c>
      <c r="I334" s="2" t="str">
        <f>VLOOKUP(Tabla3[[#This Row],[Deposito]],'SAPROV (2)'!D:E,2,FALSE)</f>
        <v>A01</v>
      </c>
      <c r="K334" s="23" t="s">
        <v>23</v>
      </c>
      <c r="L334" s="2" t="str">
        <f>VLOOKUP(Tabla3[[#This Row],[PROVEEDOR]],'SAPROV (2)'!A:B,2,FALSE)</f>
        <v>04</v>
      </c>
      <c r="M334" t="str">
        <f>VLOOKUP(Tabla3[[#This Row],[SERVICIO]],'SAPROV (2)'!I:J,2,FALSE)</f>
        <v>SERV0060</v>
      </c>
      <c r="N334" t="s">
        <v>611</v>
      </c>
      <c r="P334">
        <f>VLOOKUP(Tabla3[[#This Row],[FECHA]],TASA[],2,FALSE)</f>
        <v>321.02999999999997</v>
      </c>
      <c r="Q334" s="4">
        <f t="shared" si="42"/>
        <v>-7.7874341961810432</v>
      </c>
      <c r="R334" t="s">
        <v>1253</v>
      </c>
    </row>
    <row r="335" spans="1:18" x14ac:dyDescent="0.25">
      <c r="A335" s="33">
        <v>46030</v>
      </c>
      <c r="B335" s="1">
        <v>676273459010</v>
      </c>
      <c r="C335" s="2" t="s">
        <v>1251</v>
      </c>
      <c r="D335" s="34">
        <v>-2500</v>
      </c>
      <c r="E335" t="s">
        <v>20</v>
      </c>
      <c r="F335" s="2" t="e">
        <f>VLOOKUP(Tabla3[[#This Row],[CONTABLE]],'SAPROV (2)'!L:M,2,FALSE)</f>
        <v>#N/A</v>
      </c>
      <c r="H335" t="s">
        <v>588</v>
      </c>
      <c r="I335" s="2" t="str">
        <f>VLOOKUP(Tabla3[[#This Row],[Deposito]],'SAPROV (2)'!D:E,2,FALSE)</f>
        <v>A01</v>
      </c>
      <c r="K335" s="23" t="s">
        <v>23</v>
      </c>
      <c r="L335" s="23" t="str">
        <f>VLOOKUP(Tabla3[[#This Row],[PROVEEDOR]],'SAPROV (2)'!A:B,2,FALSE)</f>
        <v>04</v>
      </c>
      <c r="M335" t="str">
        <f>VLOOKUP(Tabla3[[#This Row],[SERVICIO]],'SAPROV (2)'!I:J,2,FALSE)</f>
        <v>SERV0060</v>
      </c>
      <c r="N335" t="s">
        <v>611</v>
      </c>
      <c r="P335">
        <f>VLOOKUP(Tabla3[[#This Row],[FECHA]],TASA[],2,FALSE)</f>
        <v>321.02999999999997</v>
      </c>
      <c r="Q335" s="4">
        <f t="shared" si="42"/>
        <v>-7.7874341961810432</v>
      </c>
      <c r="R335" t="s">
        <v>1253</v>
      </c>
    </row>
    <row r="336" spans="1:18" x14ac:dyDescent="0.25">
      <c r="A336" s="33">
        <v>46030</v>
      </c>
      <c r="B336" s="1">
        <v>676273460011</v>
      </c>
      <c r="C336" s="2" t="s">
        <v>1251</v>
      </c>
      <c r="D336" s="34">
        <v>-2500</v>
      </c>
      <c r="E336" t="s">
        <v>20</v>
      </c>
      <c r="F336" s="2" t="e">
        <f>VLOOKUP(Tabla3[[#This Row],[CONTABLE]],'SAPROV (2)'!L:M,2,FALSE)</f>
        <v>#N/A</v>
      </c>
      <c r="H336" t="s">
        <v>588</v>
      </c>
      <c r="I336" s="2" t="str">
        <f>VLOOKUP(Tabla3[[#This Row],[Deposito]],'SAPROV (2)'!D:E,2,FALSE)</f>
        <v>A01</v>
      </c>
      <c r="K336" s="23" t="s">
        <v>23</v>
      </c>
      <c r="L336" s="23" t="str">
        <f>VLOOKUP(Tabla3[[#This Row],[PROVEEDOR]],'SAPROV (2)'!A:B,2,FALSE)</f>
        <v>04</v>
      </c>
      <c r="M336" t="str">
        <f>VLOOKUP(Tabla3[[#This Row],[SERVICIO]],'SAPROV (2)'!I:J,2,FALSE)</f>
        <v>SERV0060</v>
      </c>
      <c r="N336" t="s">
        <v>611</v>
      </c>
      <c r="P336">
        <f>VLOOKUP(Tabla3[[#This Row],[FECHA]],TASA[],2,FALSE)</f>
        <v>321.02999999999997</v>
      </c>
      <c r="Q336" s="4">
        <f t="shared" si="42"/>
        <v>-7.7874341961810432</v>
      </c>
      <c r="R336" t="s">
        <v>1253</v>
      </c>
    </row>
    <row r="337" spans="1:18" x14ac:dyDescent="0.25">
      <c r="A337" s="33">
        <v>46030</v>
      </c>
      <c r="B337" s="1">
        <v>676273450001</v>
      </c>
      <c r="C337" s="2" t="s">
        <v>1251</v>
      </c>
      <c r="D337" s="34">
        <v>-670.38</v>
      </c>
      <c r="E337" t="s">
        <v>20</v>
      </c>
      <c r="F337" s="2" t="e">
        <f>VLOOKUP(Tabla3[[#This Row],[CONTABLE]],'SAPROV (2)'!L:M,2,FALSE)</f>
        <v>#N/A</v>
      </c>
      <c r="H337" t="s">
        <v>588</v>
      </c>
      <c r="I337" s="2" t="str">
        <f>VLOOKUP(Tabla3[[#This Row],[Deposito]],'SAPROV (2)'!D:E,2,FALSE)</f>
        <v>A01</v>
      </c>
      <c r="K337" s="23" t="s">
        <v>23</v>
      </c>
      <c r="L337" s="2" t="str">
        <f>VLOOKUP(Tabla3[[#This Row],[PROVEEDOR]],'SAPROV (2)'!A:B,2,FALSE)</f>
        <v>04</v>
      </c>
      <c r="M337" t="str">
        <f>VLOOKUP(Tabla3[[#This Row],[SERVICIO]],'SAPROV (2)'!I:J,2,FALSE)</f>
        <v>SERV0060</v>
      </c>
      <c r="N337" t="s">
        <v>611</v>
      </c>
      <c r="P337">
        <f>VLOOKUP(Tabla3[[#This Row],[FECHA]],TASA[],2,FALSE)</f>
        <v>321.02999999999997</v>
      </c>
      <c r="Q337" s="4">
        <f t="shared" si="42"/>
        <v>-2.0882160545743389</v>
      </c>
      <c r="R337" t="s">
        <v>1253</v>
      </c>
    </row>
    <row r="338" spans="1:18" x14ac:dyDescent="0.25">
      <c r="A338" s="33">
        <v>46030</v>
      </c>
      <c r="B338" s="1">
        <v>676284852008</v>
      </c>
      <c r="C338" s="2" t="s">
        <v>1251</v>
      </c>
      <c r="D338" s="34">
        <v>-263.54000000000002</v>
      </c>
      <c r="E338" t="s">
        <v>20</v>
      </c>
      <c r="F338" s="2" t="e">
        <f>VLOOKUP(Tabla3[[#This Row],[CONTABLE]],'SAPROV (2)'!L:M,2,FALSE)</f>
        <v>#N/A</v>
      </c>
      <c r="H338" t="s">
        <v>588</v>
      </c>
      <c r="I338" s="2" t="str">
        <f>VLOOKUP(Tabla3[[#This Row],[Deposito]],'SAPROV (2)'!D:E,2,FALSE)</f>
        <v>A01</v>
      </c>
      <c r="K338" s="23" t="s">
        <v>23</v>
      </c>
      <c r="L338" s="23" t="str">
        <f>VLOOKUP(Tabla3[[#This Row],[PROVEEDOR]],'SAPROV (2)'!A:B,2,FALSE)</f>
        <v>04</v>
      </c>
      <c r="M338" t="str">
        <f>VLOOKUP(Tabla3[[#This Row],[SERVICIO]],'SAPROV (2)'!I:J,2,FALSE)</f>
        <v>SERV0060</v>
      </c>
      <c r="N338" t="s">
        <v>611</v>
      </c>
      <c r="P338">
        <f>VLOOKUP(Tabla3[[#This Row],[FECHA]],TASA[],2,FALSE)</f>
        <v>321.02999999999997</v>
      </c>
      <c r="Q338" s="4">
        <f t="shared" si="42"/>
        <v>-0.82092016322462091</v>
      </c>
      <c r="R338" t="s">
        <v>1253</v>
      </c>
    </row>
    <row r="339" spans="1:18" x14ac:dyDescent="0.25">
      <c r="A339" s="33">
        <v>46030</v>
      </c>
      <c r="B339" s="1">
        <v>676284855009</v>
      </c>
      <c r="C339" s="2" t="s">
        <v>1251</v>
      </c>
      <c r="D339" s="34">
        <v>-160.51</v>
      </c>
      <c r="E339" t="s">
        <v>20</v>
      </c>
      <c r="F339" s="2" t="e">
        <f>VLOOKUP(Tabla3[[#This Row],[CONTABLE]],'SAPROV (2)'!L:M,2,FALSE)</f>
        <v>#N/A</v>
      </c>
      <c r="H339" t="s">
        <v>588</v>
      </c>
      <c r="I339" s="2" t="str">
        <f>VLOOKUP(Tabla3[[#This Row],[Deposito]],'SAPROV (2)'!D:E,2,FALSE)</f>
        <v>A01</v>
      </c>
      <c r="K339" s="23" t="s">
        <v>23</v>
      </c>
      <c r="L339" s="23" t="str">
        <f>VLOOKUP(Tabla3[[#This Row],[PROVEEDOR]],'SAPROV (2)'!A:B,2,FALSE)</f>
        <v>04</v>
      </c>
      <c r="M339" t="str">
        <f>VLOOKUP(Tabla3[[#This Row],[SERVICIO]],'SAPROV (2)'!I:J,2,FALSE)</f>
        <v>SERV0060</v>
      </c>
      <c r="N339" t="s">
        <v>611</v>
      </c>
      <c r="P339">
        <f>VLOOKUP(Tabla3[[#This Row],[FECHA]],TASA[],2,FALSE)</f>
        <v>321.02999999999997</v>
      </c>
      <c r="Q339" s="4">
        <f t="shared" si="42"/>
        <v>-0.49998442513160768</v>
      </c>
      <c r="R339" t="s">
        <v>1253</v>
      </c>
    </row>
    <row r="340" spans="1:18" x14ac:dyDescent="0.25">
      <c r="A340" s="33">
        <v>46030</v>
      </c>
      <c r="B340" s="1">
        <v>676284866003</v>
      </c>
      <c r="C340" s="2" t="s">
        <v>1251</v>
      </c>
      <c r="D340" s="34">
        <v>-208.14</v>
      </c>
      <c r="E340" t="s">
        <v>20</v>
      </c>
      <c r="F340" s="2" t="e">
        <f>VLOOKUP(Tabla3[[#This Row],[CONTABLE]],'SAPROV (2)'!L:M,2,FALSE)</f>
        <v>#N/A</v>
      </c>
      <c r="H340" t="s">
        <v>588</v>
      </c>
      <c r="I340" s="2" t="str">
        <f>VLOOKUP(Tabla3[[#This Row],[Deposito]],'SAPROV (2)'!D:E,2,FALSE)</f>
        <v>A01</v>
      </c>
      <c r="K340" s="23" t="s">
        <v>23</v>
      </c>
      <c r="L340" s="2" t="str">
        <f>VLOOKUP(Tabla3[[#This Row],[PROVEEDOR]],'SAPROV (2)'!A:B,2,FALSE)</f>
        <v>04</v>
      </c>
      <c r="M340" t="str">
        <f>VLOOKUP(Tabla3[[#This Row],[SERVICIO]],'SAPROV (2)'!I:J,2,FALSE)</f>
        <v>SERV0060</v>
      </c>
      <c r="N340" t="s">
        <v>611</v>
      </c>
      <c r="P340">
        <f>VLOOKUP(Tabla3[[#This Row],[FECHA]],TASA[],2,FALSE)</f>
        <v>321.02999999999997</v>
      </c>
      <c r="Q340" s="4">
        <f t="shared" si="42"/>
        <v>-0.64835062143724886</v>
      </c>
      <c r="R340" t="s">
        <v>1253</v>
      </c>
    </row>
    <row r="341" spans="1:18" x14ac:dyDescent="0.25">
      <c r="A341" s="33">
        <v>46030</v>
      </c>
      <c r="B341" s="1">
        <v>676284857013</v>
      </c>
      <c r="C341" s="2" t="s">
        <v>1251</v>
      </c>
      <c r="D341" s="34">
        <v>-231.02</v>
      </c>
      <c r="E341" t="s">
        <v>20</v>
      </c>
      <c r="F341" s="2" t="e">
        <f>VLOOKUP(Tabla3[[#This Row],[CONTABLE]],'SAPROV (2)'!L:M,2,FALSE)</f>
        <v>#N/A</v>
      </c>
      <c r="H341" t="s">
        <v>588</v>
      </c>
      <c r="I341" s="2" t="str">
        <f>VLOOKUP(Tabla3[[#This Row],[Deposito]],'SAPROV (2)'!D:E,2,FALSE)</f>
        <v>A01</v>
      </c>
      <c r="K341" s="23" t="s">
        <v>23</v>
      </c>
      <c r="L341" s="23" t="str">
        <f>VLOOKUP(Tabla3[[#This Row],[PROVEEDOR]],'SAPROV (2)'!A:B,2,FALSE)</f>
        <v>04</v>
      </c>
      <c r="M341" t="str">
        <f>VLOOKUP(Tabla3[[#This Row],[SERVICIO]],'SAPROV (2)'!I:J,2,FALSE)</f>
        <v>SERV0060</v>
      </c>
      <c r="N341" t="s">
        <v>611</v>
      </c>
      <c r="P341">
        <f>VLOOKUP(Tabla3[[#This Row],[FECHA]],TASA[],2,FALSE)</f>
        <v>321.02999999999997</v>
      </c>
      <c r="Q341" s="4">
        <f t="shared" si="42"/>
        <v>-0.71962121920069788</v>
      </c>
      <c r="R341" t="s">
        <v>1253</v>
      </c>
    </row>
    <row r="342" spans="1:18" x14ac:dyDescent="0.25">
      <c r="A342" s="33">
        <v>46030</v>
      </c>
      <c r="B342" s="1">
        <v>676284860016</v>
      </c>
      <c r="C342" s="2" t="s">
        <v>1251</v>
      </c>
      <c r="D342" s="34">
        <v>-233.3</v>
      </c>
      <c r="E342" t="s">
        <v>20</v>
      </c>
      <c r="F342" s="2" t="e">
        <f>VLOOKUP(Tabla3[[#This Row],[CONTABLE]],'SAPROV (2)'!L:M,2,FALSE)</f>
        <v>#N/A</v>
      </c>
      <c r="H342" t="s">
        <v>588</v>
      </c>
      <c r="I342" s="2" t="str">
        <f>VLOOKUP(Tabla3[[#This Row],[Deposito]],'SAPROV (2)'!D:E,2,FALSE)</f>
        <v>A01</v>
      </c>
      <c r="K342" s="23" t="s">
        <v>23</v>
      </c>
      <c r="L342" s="23" t="str">
        <f>VLOOKUP(Tabla3[[#This Row],[PROVEEDOR]],'SAPROV (2)'!A:B,2,FALSE)</f>
        <v>04</v>
      </c>
      <c r="M342" t="str">
        <f>VLOOKUP(Tabla3[[#This Row],[SERVICIO]],'SAPROV (2)'!I:J,2,FALSE)</f>
        <v>SERV0060</v>
      </c>
      <c r="N342" t="s">
        <v>611</v>
      </c>
      <c r="P342">
        <f>VLOOKUP(Tabla3[[#This Row],[FECHA]],TASA[],2,FALSE)</f>
        <v>321.02999999999997</v>
      </c>
      <c r="Q342" s="4">
        <f t="shared" si="42"/>
        <v>-0.72672335918761499</v>
      </c>
      <c r="R342" t="s">
        <v>1253</v>
      </c>
    </row>
    <row r="343" spans="1:18" x14ac:dyDescent="0.25">
      <c r="A343" s="33">
        <v>46030</v>
      </c>
      <c r="B343" s="1">
        <v>676284853009</v>
      </c>
      <c r="C343" s="2" t="s">
        <v>1251</v>
      </c>
      <c r="D343" s="34">
        <v>-276.45999999999998</v>
      </c>
      <c r="E343" t="s">
        <v>20</v>
      </c>
      <c r="F343" s="2" t="e">
        <f>VLOOKUP(Tabla3[[#This Row],[CONTABLE]],'SAPROV (2)'!L:M,2,FALSE)</f>
        <v>#N/A</v>
      </c>
      <c r="H343" t="s">
        <v>588</v>
      </c>
      <c r="I343" s="2" t="str">
        <f>VLOOKUP(Tabla3[[#This Row],[Deposito]],'SAPROV (2)'!D:E,2,FALSE)</f>
        <v>A01</v>
      </c>
      <c r="K343" s="23" t="s">
        <v>23</v>
      </c>
      <c r="L343" s="2" t="str">
        <f>VLOOKUP(Tabla3[[#This Row],[PROVEEDOR]],'SAPROV (2)'!A:B,2,FALSE)</f>
        <v>04</v>
      </c>
      <c r="M343" t="str">
        <f>VLOOKUP(Tabla3[[#This Row],[SERVICIO]],'SAPROV (2)'!I:J,2,FALSE)</f>
        <v>SERV0060</v>
      </c>
      <c r="N343" t="s">
        <v>611</v>
      </c>
      <c r="P343">
        <f>VLOOKUP(Tabla3[[#This Row],[FECHA]],TASA[],2,FALSE)</f>
        <v>321.02999999999997</v>
      </c>
      <c r="Q343" s="4">
        <f t="shared" si="42"/>
        <v>-0.86116562315048439</v>
      </c>
      <c r="R343" t="s">
        <v>1253</v>
      </c>
    </row>
    <row r="344" spans="1:18" x14ac:dyDescent="0.25">
      <c r="A344" s="33">
        <v>46030</v>
      </c>
      <c r="B344" s="1">
        <v>676284859015</v>
      </c>
      <c r="C344" s="2" t="s">
        <v>1251</v>
      </c>
      <c r="D344" s="34">
        <v>-144.1</v>
      </c>
      <c r="E344" t="s">
        <v>20</v>
      </c>
      <c r="F344" s="2" t="e">
        <f>VLOOKUP(Tabla3[[#This Row],[CONTABLE]],'SAPROV (2)'!L:M,2,FALSE)</f>
        <v>#N/A</v>
      </c>
      <c r="H344" t="s">
        <v>588</v>
      </c>
      <c r="I344" s="2" t="str">
        <f>VLOOKUP(Tabla3[[#This Row],[Deposito]],'SAPROV (2)'!D:E,2,FALSE)</f>
        <v>A01</v>
      </c>
      <c r="K344" s="23" t="s">
        <v>23</v>
      </c>
      <c r="L344" s="23" t="str">
        <f>VLOOKUP(Tabla3[[#This Row],[PROVEEDOR]],'SAPROV (2)'!A:B,2,FALSE)</f>
        <v>04</v>
      </c>
      <c r="M344" t="str">
        <f>VLOOKUP(Tabla3[[#This Row],[SERVICIO]],'SAPROV (2)'!I:J,2,FALSE)</f>
        <v>SERV0060</v>
      </c>
      <c r="N344" t="s">
        <v>611</v>
      </c>
      <c r="P344">
        <f>VLOOKUP(Tabla3[[#This Row],[FECHA]],TASA[],2,FALSE)</f>
        <v>321.02999999999997</v>
      </c>
      <c r="Q344" s="4">
        <f t="shared" si="42"/>
        <v>-0.44886770706787532</v>
      </c>
      <c r="R344" t="s">
        <v>1253</v>
      </c>
    </row>
    <row r="345" spans="1:18" x14ac:dyDescent="0.25">
      <c r="A345" s="33">
        <v>46030</v>
      </c>
      <c r="B345" s="1">
        <v>676284851007</v>
      </c>
      <c r="C345" s="2" t="s">
        <v>1251</v>
      </c>
      <c r="D345" s="34">
        <v>-434.35</v>
      </c>
      <c r="E345" t="s">
        <v>20</v>
      </c>
      <c r="F345" s="2" t="e">
        <f>VLOOKUP(Tabla3[[#This Row],[CONTABLE]],'SAPROV (2)'!L:M,2,FALSE)</f>
        <v>#N/A</v>
      </c>
      <c r="H345" t="s">
        <v>588</v>
      </c>
      <c r="I345" s="2" t="str">
        <f>VLOOKUP(Tabla3[[#This Row],[Deposito]],'SAPROV (2)'!D:E,2,FALSE)</f>
        <v>A01</v>
      </c>
      <c r="K345" s="23" t="s">
        <v>23</v>
      </c>
      <c r="L345" s="23" t="str">
        <f>VLOOKUP(Tabla3[[#This Row],[PROVEEDOR]],'SAPROV (2)'!A:B,2,FALSE)</f>
        <v>04</v>
      </c>
      <c r="M345" t="str">
        <f>VLOOKUP(Tabla3[[#This Row],[SERVICIO]],'SAPROV (2)'!I:J,2,FALSE)</f>
        <v>SERV0060</v>
      </c>
      <c r="N345" t="s">
        <v>611</v>
      </c>
      <c r="P345">
        <f>VLOOKUP(Tabla3[[#This Row],[FECHA]],TASA[],2,FALSE)</f>
        <v>321.02999999999997</v>
      </c>
      <c r="Q345" s="4">
        <f t="shared" si="42"/>
        <v>-1.3529888172444944</v>
      </c>
      <c r="R345" t="s">
        <v>1253</v>
      </c>
    </row>
    <row r="346" spans="1:18" x14ac:dyDescent="0.25">
      <c r="A346" s="33">
        <v>46030</v>
      </c>
      <c r="B346" s="1">
        <v>676284863017</v>
      </c>
      <c r="C346" s="2" t="s">
        <v>1251</v>
      </c>
      <c r="D346" s="34">
        <v>-217.81</v>
      </c>
      <c r="E346" t="s">
        <v>20</v>
      </c>
      <c r="F346" s="2" t="e">
        <f>VLOOKUP(Tabla3[[#This Row],[CONTABLE]],'SAPROV (2)'!L:M,2,FALSE)</f>
        <v>#N/A</v>
      </c>
      <c r="H346" t="s">
        <v>588</v>
      </c>
      <c r="I346" s="2" t="str">
        <f>VLOOKUP(Tabla3[[#This Row],[Deposito]],'SAPROV (2)'!D:E,2,FALSE)</f>
        <v>A01</v>
      </c>
      <c r="K346" s="23" t="s">
        <v>23</v>
      </c>
      <c r="L346" s="2" t="str">
        <f>VLOOKUP(Tabla3[[#This Row],[PROVEEDOR]],'SAPROV (2)'!A:B,2,FALSE)</f>
        <v>04</v>
      </c>
      <c r="M346" t="str">
        <f>VLOOKUP(Tabla3[[#This Row],[SERVICIO]],'SAPROV (2)'!I:J,2,FALSE)</f>
        <v>SERV0060</v>
      </c>
      <c r="N346" t="s">
        <v>611</v>
      </c>
      <c r="P346">
        <f>VLOOKUP(Tabla3[[#This Row],[FECHA]],TASA[],2,FALSE)</f>
        <v>321.02999999999997</v>
      </c>
      <c r="Q346" s="4">
        <f t="shared" si="42"/>
        <v>-0.67847241690807714</v>
      </c>
      <c r="R346" t="s">
        <v>1253</v>
      </c>
    </row>
    <row r="347" spans="1:18" x14ac:dyDescent="0.25">
      <c r="A347" s="33">
        <v>46030</v>
      </c>
      <c r="B347" s="1">
        <v>676284867002</v>
      </c>
      <c r="C347" s="2" t="s">
        <v>1251</v>
      </c>
      <c r="D347" s="34">
        <v>-228.73</v>
      </c>
      <c r="E347" t="s">
        <v>20</v>
      </c>
      <c r="F347" s="2" t="e">
        <f>VLOOKUP(Tabla3[[#This Row],[CONTABLE]],'SAPROV (2)'!L:M,2,FALSE)</f>
        <v>#N/A</v>
      </c>
      <c r="H347" t="s">
        <v>588</v>
      </c>
      <c r="I347" s="2" t="str">
        <f>VLOOKUP(Tabla3[[#This Row],[Deposito]],'SAPROV (2)'!D:E,2,FALSE)</f>
        <v>A01</v>
      </c>
      <c r="K347" s="23" t="s">
        <v>23</v>
      </c>
      <c r="L347" s="23" t="str">
        <f>VLOOKUP(Tabla3[[#This Row],[PROVEEDOR]],'SAPROV (2)'!A:B,2,FALSE)</f>
        <v>04</v>
      </c>
      <c r="M347" t="str">
        <f>VLOOKUP(Tabla3[[#This Row],[SERVICIO]],'SAPROV (2)'!I:J,2,FALSE)</f>
        <v>SERV0060</v>
      </c>
      <c r="N347" t="s">
        <v>611</v>
      </c>
      <c r="P347">
        <f>VLOOKUP(Tabla3[[#This Row],[FECHA]],TASA[],2,FALSE)</f>
        <v>321.02999999999997</v>
      </c>
      <c r="Q347" s="4">
        <f t="shared" si="42"/>
        <v>-0.71248792947699591</v>
      </c>
      <c r="R347" t="s">
        <v>1253</v>
      </c>
    </row>
    <row r="348" spans="1:18" x14ac:dyDescent="0.25">
      <c r="A348" s="33">
        <v>46030</v>
      </c>
      <c r="B348" s="1">
        <v>676284856012</v>
      </c>
      <c r="C348" s="2" t="s">
        <v>1251</v>
      </c>
      <c r="D348" s="34">
        <v>-236.75</v>
      </c>
      <c r="E348" t="s">
        <v>20</v>
      </c>
      <c r="F348" s="2" t="e">
        <f>VLOOKUP(Tabla3[[#This Row],[CONTABLE]],'SAPROV (2)'!L:M,2,FALSE)</f>
        <v>#N/A</v>
      </c>
      <c r="H348" t="s">
        <v>588</v>
      </c>
      <c r="I348" s="2" t="str">
        <f>VLOOKUP(Tabla3[[#This Row],[Deposito]],'SAPROV (2)'!D:E,2,FALSE)</f>
        <v>A01</v>
      </c>
      <c r="K348" s="23" t="s">
        <v>23</v>
      </c>
      <c r="L348" s="23" t="str">
        <f>VLOOKUP(Tabla3[[#This Row],[PROVEEDOR]],'SAPROV (2)'!A:B,2,FALSE)</f>
        <v>04</v>
      </c>
      <c r="M348" t="str">
        <f>VLOOKUP(Tabla3[[#This Row],[SERVICIO]],'SAPROV (2)'!I:J,2,FALSE)</f>
        <v>SERV0060</v>
      </c>
      <c r="N348" t="s">
        <v>611</v>
      </c>
      <c r="P348">
        <f>VLOOKUP(Tabla3[[#This Row],[FECHA]],TASA[],2,FALSE)</f>
        <v>321.02999999999997</v>
      </c>
      <c r="Q348" s="4">
        <f t="shared" si="42"/>
        <v>-0.7374700183783448</v>
      </c>
      <c r="R348" t="s">
        <v>1253</v>
      </c>
    </row>
    <row r="349" spans="1:18" x14ac:dyDescent="0.25">
      <c r="A349" s="33">
        <v>46030</v>
      </c>
      <c r="B349" s="1">
        <v>676284858014</v>
      </c>
      <c r="C349" s="2" t="s">
        <v>1251</v>
      </c>
      <c r="D349" s="34">
        <v>-234.39</v>
      </c>
      <c r="E349" t="s">
        <v>20</v>
      </c>
      <c r="F349" s="2" t="e">
        <f>VLOOKUP(Tabla3[[#This Row],[CONTABLE]],'SAPROV (2)'!L:M,2,FALSE)</f>
        <v>#N/A</v>
      </c>
      <c r="H349" t="s">
        <v>588</v>
      </c>
      <c r="I349" s="2" t="str">
        <f>VLOOKUP(Tabla3[[#This Row],[Deposito]],'SAPROV (2)'!D:E,2,FALSE)</f>
        <v>A01</v>
      </c>
      <c r="K349" s="23" t="s">
        <v>23</v>
      </c>
      <c r="L349" s="2" t="str">
        <f>VLOOKUP(Tabla3[[#This Row],[PROVEEDOR]],'SAPROV (2)'!A:B,2,FALSE)</f>
        <v>04</v>
      </c>
      <c r="M349" t="str">
        <f>VLOOKUP(Tabla3[[#This Row],[SERVICIO]],'SAPROV (2)'!I:J,2,FALSE)</f>
        <v>SERV0060</v>
      </c>
      <c r="N349" t="s">
        <v>611</v>
      </c>
      <c r="P349">
        <f>VLOOKUP(Tabla3[[#This Row],[FECHA]],TASA[],2,FALSE)</f>
        <v>321.02999999999997</v>
      </c>
      <c r="Q349" s="4">
        <f t="shared" si="42"/>
        <v>-0.73011868049714979</v>
      </c>
      <c r="R349" t="s">
        <v>1253</v>
      </c>
    </row>
    <row r="350" spans="1:18" x14ac:dyDescent="0.25">
      <c r="A350" s="33">
        <v>46030</v>
      </c>
      <c r="B350" s="1">
        <v>676284862017</v>
      </c>
      <c r="C350" s="2" t="s">
        <v>1251</v>
      </c>
      <c r="D350" s="34">
        <v>-236.75</v>
      </c>
      <c r="E350" t="s">
        <v>20</v>
      </c>
      <c r="F350" s="2" t="e">
        <f>VLOOKUP(Tabla3[[#This Row],[CONTABLE]],'SAPROV (2)'!L:M,2,FALSE)</f>
        <v>#N/A</v>
      </c>
      <c r="H350" t="s">
        <v>588</v>
      </c>
      <c r="I350" s="2" t="str">
        <f>VLOOKUP(Tabla3[[#This Row],[Deposito]],'SAPROV (2)'!D:E,2,FALSE)</f>
        <v>A01</v>
      </c>
      <c r="K350" s="23" t="s">
        <v>23</v>
      </c>
      <c r="L350" s="23" t="str">
        <f>VLOOKUP(Tabla3[[#This Row],[PROVEEDOR]],'SAPROV (2)'!A:B,2,FALSE)</f>
        <v>04</v>
      </c>
      <c r="M350" t="str">
        <f>VLOOKUP(Tabla3[[#This Row],[SERVICIO]],'SAPROV (2)'!I:J,2,FALSE)</f>
        <v>SERV0060</v>
      </c>
      <c r="N350" t="s">
        <v>611</v>
      </c>
      <c r="P350">
        <f>VLOOKUP(Tabla3[[#This Row],[FECHA]],TASA[],2,FALSE)</f>
        <v>321.02999999999997</v>
      </c>
      <c r="Q350" s="4">
        <f t="shared" si="42"/>
        <v>-0.7374700183783448</v>
      </c>
      <c r="R350" t="s">
        <v>1253</v>
      </c>
    </row>
    <row r="351" spans="1:18" x14ac:dyDescent="0.25">
      <c r="A351" s="33">
        <v>46030</v>
      </c>
      <c r="B351" s="1">
        <v>676284846002</v>
      </c>
      <c r="C351" s="2" t="s">
        <v>1251</v>
      </c>
      <c r="D351" s="34">
        <v>-869.18</v>
      </c>
      <c r="E351" t="s">
        <v>20</v>
      </c>
      <c r="F351" s="2" t="e">
        <f>VLOOKUP(Tabla3[[#This Row],[CONTABLE]],'SAPROV (2)'!L:M,2,FALSE)</f>
        <v>#N/A</v>
      </c>
      <c r="H351" t="s">
        <v>588</v>
      </c>
      <c r="I351" s="2" t="str">
        <f>VLOOKUP(Tabla3[[#This Row],[Deposito]],'SAPROV (2)'!D:E,2,FALSE)</f>
        <v>A01</v>
      </c>
      <c r="K351" s="23" t="s">
        <v>23</v>
      </c>
      <c r="L351" s="23" t="str">
        <f>VLOOKUP(Tabla3[[#This Row],[PROVEEDOR]],'SAPROV (2)'!A:B,2,FALSE)</f>
        <v>04</v>
      </c>
      <c r="M351" t="str">
        <f>VLOOKUP(Tabla3[[#This Row],[SERVICIO]],'SAPROV (2)'!I:J,2,FALSE)</f>
        <v>SERV0060</v>
      </c>
      <c r="N351" t="s">
        <v>611</v>
      </c>
      <c r="P351">
        <f>VLOOKUP(Tabla3[[#This Row],[FECHA]],TASA[],2,FALSE)</f>
        <v>321.02999999999997</v>
      </c>
      <c r="Q351" s="4">
        <f t="shared" si="42"/>
        <v>-2.7074728218546555</v>
      </c>
      <c r="R351" t="s">
        <v>1253</v>
      </c>
    </row>
    <row r="352" spans="1:18" x14ac:dyDescent="0.25">
      <c r="A352" s="33">
        <v>46030</v>
      </c>
      <c r="B352" s="1">
        <v>676284847003</v>
      </c>
      <c r="C352" s="2" t="s">
        <v>1251</v>
      </c>
      <c r="D352" s="34">
        <v>-892.06</v>
      </c>
      <c r="E352" t="s">
        <v>20</v>
      </c>
      <c r="F352" s="2" t="e">
        <f>VLOOKUP(Tabla3[[#This Row],[CONTABLE]],'SAPROV (2)'!L:M,2,FALSE)</f>
        <v>#N/A</v>
      </c>
      <c r="H352" t="s">
        <v>588</v>
      </c>
      <c r="I352" s="2" t="str">
        <f>VLOOKUP(Tabla3[[#This Row],[Deposito]],'SAPROV (2)'!D:E,2,FALSE)</f>
        <v>A01</v>
      </c>
      <c r="K352" s="23" t="s">
        <v>23</v>
      </c>
      <c r="L352" s="2" t="str">
        <f>VLOOKUP(Tabla3[[#This Row],[PROVEEDOR]],'SAPROV (2)'!A:B,2,FALSE)</f>
        <v>04</v>
      </c>
      <c r="M352" t="str">
        <f>VLOOKUP(Tabla3[[#This Row],[SERVICIO]],'SAPROV (2)'!I:J,2,FALSE)</f>
        <v>SERV0060</v>
      </c>
      <c r="N352" t="s">
        <v>611</v>
      </c>
      <c r="P352">
        <f>VLOOKUP(Tabla3[[#This Row],[FECHA]],TASA[],2,FALSE)</f>
        <v>321.02999999999997</v>
      </c>
      <c r="Q352" s="4">
        <f t="shared" si="42"/>
        <v>-2.7787434196181042</v>
      </c>
      <c r="R352" t="s">
        <v>1253</v>
      </c>
    </row>
    <row r="353" spans="1:18" x14ac:dyDescent="0.25">
      <c r="A353" s="33">
        <v>46030</v>
      </c>
      <c r="B353" s="1">
        <v>676284848004</v>
      </c>
      <c r="C353" s="2" t="s">
        <v>1251</v>
      </c>
      <c r="D353" s="34">
        <v>-169.26</v>
      </c>
      <c r="E353" t="s">
        <v>20</v>
      </c>
      <c r="F353" s="2" t="e">
        <f>VLOOKUP(Tabla3[[#This Row],[CONTABLE]],'SAPROV (2)'!L:M,2,FALSE)</f>
        <v>#N/A</v>
      </c>
      <c r="H353" t="s">
        <v>588</v>
      </c>
      <c r="I353" s="2" t="str">
        <f>VLOOKUP(Tabla3[[#This Row],[Deposito]],'SAPROV (2)'!D:E,2,FALSE)</f>
        <v>A01</v>
      </c>
      <c r="K353" s="23" t="s">
        <v>23</v>
      </c>
      <c r="L353" s="23" t="str">
        <f>VLOOKUP(Tabla3[[#This Row],[PROVEEDOR]],'SAPROV (2)'!A:B,2,FALSE)</f>
        <v>04</v>
      </c>
      <c r="M353" t="str">
        <f>VLOOKUP(Tabla3[[#This Row],[SERVICIO]],'SAPROV (2)'!I:J,2,FALSE)</f>
        <v>SERV0060</v>
      </c>
      <c r="N353" t="s">
        <v>611</v>
      </c>
      <c r="P353">
        <f>VLOOKUP(Tabla3[[#This Row],[FECHA]],TASA[],2,FALSE)</f>
        <v>321.02999999999997</v>
      </c>
      <c r="Q353" s="4">
        <f t="shared" si="42"/>
        <v>-0.52724044481824128</v>
      </c>
      <c r="R353" t="s">
        <v>1253</v>
      </c>
    </row>
    <row r="354" spans="1:18" x14ac:dyDescent="0.25">
      <c r="A354" s="33">
        <v>46030</v>
      </c>
      <c r="B354" s="1">
        <v>676284864017</v>
      </c>
      <c r="C354" s="2" t="s">
        <v>1251</v>
      </c>
      <c r="D354" s="34">
        <v>-231.02</v>
      </c>
      <c r="E354" t="s">
        <v>20</v>
      </c>
      <c r="F354" s="2" t="e">
        <f>VLOOKUP(Tabla3[[#This Row],[CONTABLE]],'SAPROV (2)'!L:M,2,FALSE)</f>
        <v>#N/A</v>
      </c>
      <c r="H354" t="s">
        <v>588</v>
      </c>
      <c r="I354" s="2" t="str">
        <f>VLOOKUP(Tabla3[[#This Row],[Deposito]],'SAPROV (2)'!D:E,2,FALSE)</f>
        <v>A01</v>
      </c>
      <c r="K354" s="23" t="s">
        <v>23</v>
      </c>
      <c r="L354" s="23" t="str">
        <f>VLOOKUP(Tabla3[[#This Row],[PROVEEDOR]],'SAPROV (2)'!A:B,2,FALSE)</f>
        <v>04</v>
      </c>
      <c r="M354" t="str">
        <f>VLOOKUP(Tabla3[[#This Row],[SERVICIO]],'SAPROV (2)'!I:J,2,FALSE)</f>
        <v>SERV0060</v>
      </c>
      <c r="N354" t="s">
        <v>611</v>
      </c>
      <c r="P354">
        <f>VLOOKUP(Tabla3[[#This Row],[FECHA]],TASA[],2,FALSE)</f>
        <v>321.02999999999997</v>
      </c>
      <c r="Q354" s="4">
        <f t="shared" ref="Q354:Q355" si="43">D354/P354</f>
        <v>-0.71962121920069788</v>
      </c>
      <c r="R354" t="s">
        <v>1253</v>
      </c>
    </row>
    <row r="355" spans="1:18" x14ac:dyDescent="0.25">
      <c r="A355" s="33">
        <v>46030</v>
      </c>
      <c r="B355" s="1">
        <v>676284861017</v>
      </c>
      <c r="C355" s="2" t="s">
        <v>1251</v>
      </c>
      <c r="D355" s="34">
        <v>-258.45999999999998</v>
      </c>
      <c r="E355" t="s">
        <v>20</v>
      </c>
      <c r="F355" s="2" t="e">
        <f>VLOOKUP(Tabla3[[#This Row],[CONTABLE]],'SAPROV (2)'!L:M,2,FALSE)</f>
        <v>#N/A</v>
      </c>
      <c r="H355" t="s">
        <v>588</v>
      </c>
      <c r="I355" s="2" t="str">
        <f>VLOOKUP(Tabla3[[#This Row],[Deposito]],'SAPROV (2)'!D:E,2,FALSE)</f>
        <v>A01</v>
      </c>
      <c r="K355" s="23" t="s">
        <v>23</v>
      </c>
      <c r="L355" s="2" t="str">
        <f>VLOOKUP(Tabla3[[#This Row],[PROVEEDOR]],'SAPROV (2)'!A:B,2,FALSE)</f>
        <v>04</v>
      </c>
      <c r="M355" t="str">
        <f>VLOOKUP(Tabla3[[#This Row],[SERVICIO]],'SAPROV (2)'!I:J,2,FALSE)</f>
        <v>SERV0060</v>
      </c>
      <c r="N355" t="s">
        <v>611</v>
      </c>
      <c r="P355">
        <f>VLOOKUP(Tabla3[[#This Row],[FECHA]],TASA[],2,FALSE)</f>
        <v>321.02999999999997</v>
      </c>
      <c r="Q355" s="4">
        <f t="shared" si="43"/>
        <v>-0.8050960969379809</v>
      </c>
      <c r="R355" t="s">
        <v>1253</v>
      </c>
    </row>
    <row r="356" spans="1:18" x14ac:dyDescent="0.25">
      <c r="A356" s="33">
        <v>46030</v>
      </c>
      <c r="B356" s="1">
        <v>676284854009</v>
      </c>
      <c r="C356" s="2" t="s">
        <v>1251</v>
      </c>
      <c r="D356" s="34">
        <v>-113.86</v>
      </c>
      <c r="E356" t="s">
        <v>20</v>
      </c>
      <c r="F356" s="2" t="e">
        <f>VLOOKUP(Tabla3[[#This Row],[CONTABLE]],'SAPROV (2)'!L:M,2,FALSE)</f>
        <v>#N/A</v>
      </c>
      <c r="H356" t="s">
        <v>588</v>
      </c>
      <c r="I356" s="2" t="str">
        <f>VLOOKUP(Tabla3[[#This Row],[Deposito]],'SAPROV (2)'!D:E,2,FALSE)</f>
        <v>A01</v>
      </c>
      <c r="K356" s="23" t="s">
        <v>23</v>
      </c>
      <c r="L356" s="23" t="str">
        <f>VLOOKUP(Tabla3[[#This Row],[PROVEEDOR]],'SAPROV (2)'!A:B,2,FALSE)</f>
        <v>04</v>
      </c>
      <c r="M356" t="str">
        <f>VLOOKUP(Tabla3[[#This Row],[SERVICIO]],'SAPROV (2)'!I:J,2,FALSE)</f>
        <v>SERV0060</v>
      </c>
      <c r="N356" t="s">
        <v>611</v>
      </c>
      <c r="P356">
        <f>VLOOKUP(Tabla3[[#This Row],[FECHA]],TASA[],2,FALSE)</f>
        <v>321.02999999999997</v>
      </c>
      <c r="Q356" s="4">
        <f>D356/P356</f>
        <v>-0.3546709030308694</v>
      </c>
      <c r="R356" t="s">
        <v>1253</v>
      </c>
    </row>
    <row r="357" spans="1:18" x14ac:dyDescent="0.25">
      <c r="A357" s="33">
        <v>46030</v>
      </c>
      <c r="B357" s="1">
        <v>676284850006</v>
      </c>
      <c r="C357" s="2" t="s">
        <v>1251</v>
      </c>
      <c r="D357" s="34">
        <v>-144.46</v>
      </c>
      <c r="E357" t="s">
        <v>20</v>
      </c>
      <c r="F357" s="2" t="e">
        <f>VLOOKUP(Tabla3[[#This Row],[CONTABLE]],'SAPROV (2)'!L:M,2,FALSE)</f>
        <v>#N/A</v>
      </c>
      <c r="H357" t="s">
        <v>588</v>
      </c>
      <c r="I357" s="2" t="str">
        <f>VLOOKUP(Tabla3[[#This Row],[Deposito]],'SAPROV (2)'!D:E,2,FALSE)</f>
        <v>A01</v>
      </c>
      <c r="K357" s="23" t="s">
        <v>23</v>
      </c>
      <c r="L357" s="23" t="str">
        <f>VLOOKUP(Tabla3[[#This Row],[PROVEEDOR]],'SAPROV (2)'!A:B,2,FALSE)</f>
        <v>04</v>
      </c>
      <c r="M357" t="str">
        <f>VLOOKUP(Tabla3[[#This Row],[SERVICIO]],'SAPROV (2)'!I:J,2,FALSE)</f>
        <v>SERV0060</v>
      </c>
      <c r="N357" t="s">
        <v>611</v>
      </c>
      <c r="P357">
        <f>VLOOKUP(Tabla3[[#This Row],[FECHA]],TASA[],2,FALSE)</f>
        <v>321.02999999999997</v>
      </c>
      <c r="Q357" s="4">
        <f>D357/P357</f>
        <v>-0.44998909759212541</v>
      </c>
      <c r="R357" t="s">
        <v>1253</v>
      </c>
    </row>
    <row r="358" spans="1:18" x14ac:dyDescent="0.25">
      <c r="A358" s="33">
        <v>46030</v>
      </c>
      <c r="B358" s="1">
        <v>676284865017</v>
      </c>
      <c r="C358" s="2" t="s">
        <v>1251</v>
      </c>
      <c r="D358" s="34">
        <v>-107.5</v>
      </c>
      <c r="E358" t="s">
        <v>20</v>
      </c>
      <c r="F358" s="2" t="e">
        <f>VLOOKUP(Tabla3[[#This Row],[CONTABLE]],'SAPROV (2)'!L:M,2,FALSE)</f>
        <v>#N/A</v>
      </c>
      <c r="H358" t="s">
        <v>588</v>
      </c>
      <c r="I358" s="2" t="str">
        <f>VLOOKUP(Tabla3[[#This Row],[Deposito]],'SAPROV (2)'!D:E,2,FALSE)</f>
        <v>A01</v>
      </c>
      <c r="K358" s="23" t="s">
        <v>23</v>
      </c>
      <c r="L358" s="2" t="str">
        <f>VLOOKUP(Tabla3[[#This Row],[PROVEEDOR]],'SAPROV (2)'!A:B,2,FALSE)</f>
        <v>04</v>
      </c>
      <c r="M358" t="str">
        <f>VLOOKUP(Tabla3[[#This Row],[SERVICIO]],'SAPROV (2)'!I:J,2,FALSE)</f>
        <v>SERV0060</v>
      </c>
      <c r="N358" t="s">
        <v>611</v>
      </c>
      <c r="P358">
        <f>VLOOKUP(Tabla3[[#This Row],[FECHA]],TASA[],2,FALSE)</f>
        <v>321.02999999999997</v>
      </c>
      <c r="Q358" s="4">
        <f t="shared" ref="Q358:Q359" si="44">D358/P358</f>
        <v>-0.33485967043578485</v>
      </c>
      <c r="R358" t="s">
        <v>1253</v>
      </c>
    </row>
    <row r="359" spans="1:18" x14ac:dyDescent="0.25">
      <c r="A359" s="33">
        <v>46030</v>
      </c>
      <c r="B359" s="1">
        <v>676284845001</v>
      </c>
      <c r="C359" s="2" t="s">
        <v>1251</v>
      </c>
      <c r="D359" s="34">
        <v>-83.25</v>
      </c>
      <c r="E359" t="s">
        <v>20</v>
      </c>
      <c r="F359" s="2" t="e">
        <f>VLOOKUP(Tabla3[[#This Row],[CONTABLE]],'SAPROV (2)'!L:M,2,FALSE)</f>
        <v>#N/A</v>
      </c>
      <c r="H359" t="s">
        <v>588</v>
      </c>
      <c r="I359" s="2" t="str">
        <f>VLOOKUP(Tabla3[[#This Row],[Deposito]],'SAPROV (2)'!D:E,2,FALSE)</f>
        <v>A01</v>
      </c>
      <c r="K359" s="23" t="s">
        <v>23</v>
      </c>
      <c r="L359" s="23" t="str">
        <f>VLOOKUP(Tabla3[[#This Row],[PROVEEDOR]],'SAPROV (2)'!A:B,2,FALSE)</f>
        <v>04</v>
      </c>
      <c r="M359" t="str">
        <f>VLOOKUP(Tabla3[[#This Row],[SERVICIO]],'SAPROV (2)'!I:J,2,FALSE)</f>
        <v>SERV0060</v>
      </c>
      <c r="N359" t="s">
        <v>611</v>
      </c>
      <c r="P359">
        <f>VLOOKUP(Tabla3[[#This Row],[FECHA]],TASA[],2,FALSE)</f>
        <v>321.02999999999997</v>
      </c>
      <c r="Q359" s="4">
        <f t="shared" si="44"/>
        <v>-0.25932155873282875</v>
      </c>
      <c r="R359" t="s">
        <v>1253</v>
      </c>
    </row>
    <row r="360" spans="1:18" x14ac:dyDescent="0.25">
      <c r="A360" s="33">
        <v>46030</v>
      </c>
      <c r="B360" s="1">
        <v>676284849005</v>
      </c>
      <c r="C360" s="2" t="s">
        <v>1251</v>
      </c>
      <c r="D360" s="34">
        <v>-91.49</v>
      </c>
      <c r="E360" t="s">
        <v>20</v>
      </c>
      <c r="F360" s="2" t="e">
        <f>VLOOKUP(Tabla3[[#This Row],[CONTABLE]],'SAPROV (2)'!L:M,2,FALSE)</f>
        <v>#N/A</v>
      </c>
      <c r="H360" t="s">
        <v>588</v>
      </c>
      <c r="I360" s="2" t="str">
        <f>VLOOKUP(Tabla3[[#This Row],[Deposito]],'SAPROV (2)'!D:E,2,FALSE)</f>
        <v>A01</v>
      </c>
      <c r="K360" s="23" t="s">
        <v>23</v>
      </c>
      <c r="L360" s="23" t="str">
        <f>VLOOKUP(Tabla3[[#This Row],[PROVEEDOR]],'SAPROV (2)'!A:B,2,FALSE)</f>
        <v>04</v>
      </c>
      <c r="M360" t="str">
        <f>VLOOKUP(Tabla3[[#This Row],[SERVICIO]],'SAPROV (2)'!I:J,2,FALSE)</f>
        <v>SERV0060</v>
      </c>
      <c r="N360" t="s">
        <v>611</v>
      </c>
      <c r="P360">
        <f>VLOOKUP(Tabla3[[#This Row],[FECHA]],TASA[],2,FALSE)</f>
        <v>321.02999999999997</v>
      </c>
      <c r="Q360" s="4">
        <f t="shared" ref="Q360:Q369" si="45">D360/P360</f>
        <v>-0.28498894184344142</v>
      </c>
      <c r="R360" t="s">
        <v>1253</v>
      </c>
    </row>
    <row r="361" spans="1:18" x14ac:dyDescent="0.25">
      <c r="A361" s="33">
        <v>46030</v>
      </c>
      <c r="B361" s="1">
        <v>9884808012026</v>
      </c>
      <c r="C361" s="2" t="s">
        <v>1252</v>
      </c>
      <c r="D361" s="34">
        <v>-27.29</v>
      </c>
      <c r="E361" t="s">
        <v>20</v>
      </c>
      <c r="F361" s="2" t="e">
        <f>VLOOKUP(Tabla3[[#This Row],[CONTABLE]],'SAPROV (2)'!L:M,2,FALSE)</f>
        <v>#N/A</v>
      </c>
      <c r="H361" t="s">
        <v>588</v>
      </c>
      <c r="I361" s="2" t="str">
        <f>VLOOKUP(Tabla3[[#This Row],[Deposito]],'SAPROV (2)'!D:E,2,FALSE)</f>
        <v>A01</v>
      </c>
      <c r="K361" s="23" t="s">
        <v>23</v>
      </c>
      <c r="L361" s="2" t="str">
        <f>VLOOKUP(Tabla3[[#This Row],[PROVEEDOR]],'SAPROV (2)'!A:B,2,FALSE)</f>
        <v>04</v>
      </c>
      <c r="M361" t="str">
        <f>VLOOKUP(Tabla3[[#This Row],[SERVICIO]],'SAPROV (2)'!I:J,2,FALSE)</f>
        <v>SERV0060</v>
      </c>
      <c r="N361" t="s">
        <v>611</v>
      </c>
      <c r="P361">
        <f>VLOOKUP(Tabla3[[#This Row],[FECHA]],TASA[],2,FALSE)</f>
        <v>321.02999999999997</v>
      </c>
      <c r="Q361" s="4">
        <f t="shared" si="45"/>
        <v>-8.5007631685512258E-2</v>
      </c>
      <c r="R361" t="s">
        <v>1253</v>
      </c>
    </row>
    <row r="362" spans="1:18" x14ac:dyDescent="0.25">
      <c r="A362" s="33">
        <v>46031</v>
      </c>
      <c r="B362" s="1">
        <v>676223732009</v>
      </c>
      <c r="C362" s="2" t="s">
        <v>1251</v>
      </c>
      <c r="D362" s="34">
        <v>-210.97</v>
      </c>
      <c r="E362" t="s">
        <v>20</v>
      </c>
      <c r="F362" s="2" t="e">
        <f>VLOOKUP(Tabla3[[#This Row],[CONTABLE]],'SAPROV (2)'!L:M,2,FALSE)</f>
        <v>#N/A</v>
      </c>
      <c r="H362" t="s">
        <v>588</v>
      </c>
      <c r="I362" s="2" t="str">
        <f>VLOOKUP(Tabla3[[#This Row],[Deposito]],'SAPROV (2)'!D:E,2,FALSE)</f>
        <v>A01</v>
      </c>
      <c r="K362" s="23" t="s">
        <v>23</v>
      </c>
      <c r="L362" s="23" t="str">
        <f>VLOOKUP(Tabla3[[#This Row],[PROVEEDOR]],'SAPROV (2)'!A:B,2,FALSE)</f>
        <v>04</v>
      </c>
      <c r="M362" t="str">
        <f>VLOOKUP(Tabla3[[#This Row],[SERVICIO]],'SAPROV (2)'!I:J,2,FALSE)</f>
        <v>SERV0060</v>
      </c>
      <c r="N362" t="s">
        <v>611</v>
      </c>
      <c r="P362">
        <f>VLOOKUP(Tabla3[[#This Row],[FECHA]],TASA[],2,FALSE)</f>
        <v>325.39</v>
      </c>
      <c r="Q362" s="4">
        <f t="shared" si="45"/>
        <v>-0.64836042902363322</v>
      </c>
      <c r="R362" t="s">
        <v>1253</v>
      </c>
    </row>
    <row r="363" spans="1:18" x14ac:dyDescent="0.25">
      <c r="A363" s="33">
        <v>46031</v>
      </c>
      <c r="B363" s="1">
        <v>676223723001</v>
      </c>
      <c r="C363" s="2" t="s">
        <v>1251</v>
      </c>
      <c r="D363" s="34">
        <v>-97.37</v>
      </c>
      <c r="E363" t="s">
        <v>20</v>
      </c>
      <c r="F363" s="2" t="e">
        <f>VLOOKUP(Tabla3[[#This Row],[CONTABLE]],'SAPROV (2)'!L:M,2,FALSE)</f>
        <v>#N/A</v>
      </c>
      <c r="H363" t="s">
        <v>588</v>
      </c>
      <c r="I363" s="2" t="str">
        <f>VLOOKUP(Tabla3[[#This Row],[Deposito]],'SAPROV (2)'!D:E,2,FALSE)</f>
        <v>A01</v>
      </c>
      <c r="K363" s="23" t="s">
        <v>23</v>
      </c>
      <c r="L363" s="23" t="str">
        <f>VLOOKUP(Tabla3[[#This Row],[PROVEEDOR]],'SAPROV (2)'!A:B,2,FALSE)</f>
        <v>04</v>
      </c>
      <c r="M363" t="str">
        <f>VLOOKUP(Tabla3[[#This Row],[SERVICIO]],'SAPROV (2)'!I:J,2,FALSE)</f>
        <v>SERV0060</v>
      </c>
      <c r="N363" t="s">
        <v>611</v>
      </c>
      <c r="P363">
        <f>VLOOKUP(Tabla3[[#This Row],[FECHA]],TASA[],2,FALSE)</f>
        <v>325.39</v>
      </c>
      <c r="Q363" s="4">
        <f t="shared" si="45"/>
        <v>-0.29924091090691174</v>
      </c>
      <c r="R363" t="s">
        <v>1253</v>
      </c>
    </row>
    <row r="364" spans="1:18" x14ac:dyDescent="0.25">
      <c r="A364" s="33">
        <v>46031</v>
      </c>
      <c r="B364" s="1">
        <v>676223729007</v>
      </c>
      <c r="C364" s="2" t="s">
        <v>1251</v>
      </c>
      <c r="D364" s="34">
        <v>-115.92</v>
      </c>
      <c r="E364" t="s">
        <v>20</v>
      </c>
      <c r="F364" s="2" t="e">
        <f>VLOOKUP(Tabla3[[#This Row],[CONTABLE]],'SAPROV (2)'!L:M,2,FALSE)</f>
        <v>#N/A</v>
      </c>
      <c r="H364" t="s">
        <v>588</v>
      </c>
      <c r="I364" s="2" t="str">
        <f>VLOOKUP(Tabla3[[#This Row],[Deposito]],'SAPROV (2)'!D:E,2,FALSE)</f>
        <v>A01</v>
      </c>
      <c r="K364" s="23" t="s">
        <v>23</v>
      </c>
      <c r="L364" s="2" t="str">
        <f>VLOOKUP(Tabla3[[#This Row],[PROVEEDOR]],'SAPROV (2)'!A:B,2,FALSE)</f>
        <v>04</v>
      </c>
      <c r="M364" t="str">
        <f>VLOOKUP(Tabla3[[#This Row],[SERVICIO]],'SAPROV (2)'!I:J,2,FALSE)</f>
        <v>SERV0060</v>
      </c>
      <c r="N364" t="s">
        <v>611</v>
      </c>
      <c r="P364">
        <f>VLOOKUP(Tabla3[[#This Row],[FECHA]],TASA[],2,FALSE)</f>
        <v>325.39</v>
      </c>
      <c r="Q364" s="4">
        <f t="shared" si="45"/>
        <v>-0.35624942376840102</v>
      </c>
      <c r="R364" t="s">
        <v>1253</v>
      </c>
    </row>
    <row r="365" spans="1:18" x14ac:dyDescent="0.25">
      <c r="A365" s="33">
        <v>46031</v>
      </c>
      <c r="B365" s="1">
        <v>676223730008</v>
      </c>
      <c r="C365" s="2" t="s">
        <v>1251</v>
      </c>
      <c r="D365" s="34">
        <v>-217.92</v>
      </c>
      <c r="E365" t="s">
        <v>20</v>
      </c>
      <c r="F365" s="2" t="e">
        <f>VLOOKUP(Tabla3[[#This Row],[CONTABLE]],'SAPROV (2)'!L:M,2,FALSE)</f>
        <v>#N/A</v>
      </c>
      <c r="H365" t="s">
        <v>588</v>
      </c>
      <c r="I365" s="2" t="str">
        <f>VLOOKUP(Tabla3[[#This Row],[Deposito]],'SAPROV (2)'!D:E,2,FALSE)</f>
        <v>A01</v>
      </c>
      <c r="K365" s="23" t="s">
        <v>23</v>
      </c>
      <c r="L365" s="23" t="str">
        <f>VLOOKUP(Tabla3[[#This Row],[PROVEEDOR]],'SAPROV (2)'!A:B,2,FALSE)</f>
        <v>04</v>
      </c>
      <c r="M365" t="str">
        <f>VLOOKUP(Tabla3[[#This Row],[SERVICIO]],'SAPROV (2)'!I:J,2,FALSE)</f>
        <v>SERV0060</v>
      </c>
      <c r="N365" t="s">
        <v>611</v>
      </c>
      <c r="P365">
        <f>VLOOKUP(Tabla3[[#This Row],[FECHA]],TASA[],2,FALSE)</f>
        <v>325.39</v>
      </c>
      <c r="Q365" s="4">
        <f t="shared" si="45"/>
        <v>-0.66971941362672482</v>
      </c>
      <c r="R365" t="s">
        <v>1253</v>
      </c>
    </row>
    <row r="366" spans="1:18" x14ac:dyDescent="0.25">
      <c r="A366" s="33">
        <v>46031</v>
      </c>
      <c r="B366" s="1">
        <v>676223727005</v>
      </c>
      <c r="C366" s="2" t="s">
        <v>1251</v>
      </c>
      <c r="D366" s="34">
        <v>-25.56</v>
      </c>
      <c r="E366" t="s">
        <v>20</v>
      </c>
      <c r="F366" s="2" t="e">
        <f>VLOOKUP(Tabla3[[#This Row],[CONTABLE]],'SAPROV (2)'!L:M,2,FALSE)</f>
        <v>#N/A</v>
      </c>
      <c r="H366" t="s">
        <v>588</v>
      </c>
      <c r="I366" s="2" t="str">
        <f>VLOOKUP(Tabla3[[#This Row],[Deposito]],'SAPROV (2)'!D:E,2,FALSE)</f>
        <v>A01</v>
      </c>
      <c r="K366" s="23" t="s">
        <v>23</v>
      </c>
      <c r="L366" s="23" t="str">
        <f>VLOOKUP(Tabla3[[#This Row],[PROVEEDOR]],'SAPROV (2)'!A:B,2,FALSE)</f>
        <v>04</v>
      </c>
      <c r="M366" t="str">
        <f>VLOOKUP(Tabla3[[#This Row],[SERVICIO]],'SAPROV (2)'!I:J,2,FALSE)</f>
        <v>SERV0060</v>
      </c>
      <c r="N366" t="s">
        <v>611</v>
      </c>
      <c r="P366">
        <f>VLOOKUP(Tabla3[[#This Row],[FECHA]],TASA[],2,FALSE)</f>
        <v>325.39</v>
      </c>
      <c r="Q366" s="4">
        <f t="shared" si="45"/>
        <v>-7.8551891576262328E-2</v>
      </c>
      <c r="R366" t="s">
        <v>1253</v>
      </c>
    </row>
    <row r="367" spans="1:18" x14ac:dyDescent="0.25">
      <c r="A367" s="33">
        <v>46031</v>
      </c>
      <c r="B367" s="1">
        <v>676223736014</v>
      </c>
      <c r="C367" s="2" t="s">
        <v>1251</v>
      </c>
      <c r="D367" s="34">
        <v>-374.28</v>
      </c>
      <c r="E367" t="s">
        <v>20</v>
      </c>
      <c r="F367" s="2" t="e">
        <f>VLOOKUP(Tabla3[[#This Row],[CONTABLE]],'SAPROV (2)'!L:M,2,FALSE)</f>
        <v>#N/A</v>
      </c>
      <c r="H367" t="s">
        <v>588</v>
      </c>
      <c r="I367" s="2" t="str">
        <f>VLOOKUP(Tabla3[[#This Row],[Deposito]],'SAPROV (2)'!D:E,2,FALSE)</f>
        <v>A01</v>
      </c>
      <c r="K367" s="23" t="s">
        <v>23</v>
      </c>
      <c r="L367" s="2" t="str">
        <f>VLOOKUP(Tabla3[[#This Row],[PROVEEDOR]],'SAPROV (2)'!A:B,2,FALSE)</f>
        <v>04</v>
      </c>
      <c r="M367" t="str">
        <f>VLOOKUP(Tabla3[[#This Row],[SERVICIO]],'SAPROV (2)'!I:J,2,FALSE)</f>
        <v>SERV0060</v>
      </c>
      <c r="N367" t="s">
        <v>611</v>
      </c>
      <c r="P367">
        <f>VLOOKUP(Tabla3[[#This Row],[FECHA]],TASA[],2,FALSE)</f>
        <v>325.39</v>
      </c>
      <c r="Q367" s="4">
        <f t="shared" si="45"/>
        <v>-1.1502504686683672</v>
      </c>
      <c r="R367" t="s">
        <v>1253</v>
      </c>
    </row>
    <row r="368" spans="1:18" x14ac:dyDescent="0.25">
      <c r="A368" s="33">
        <v>46031</v>
      </c>
      <c r="B368" s="1">
        <v>676223734012</v>
      </c>
      <c r="C368" s="2" t="s">
        <v>1251</v>
      </c>
      <c r="D368" s="34">
        <v>-214.7</v>
      </c>
      <c r="E368" t="s">
        <v>20</v>
      </c>
      <c r="F368" s="2" t="e">
        <f>VLOOKUP(Tabla3[[#This Row],[CONTABLE]],'SAPROV (2)'!L:M,2,FALSE)</f>
        <v>#N/A</v>
      </c>
      <c r="H368" t="s">
        <v>588</v>
      </c>
      <c r="I368" s="2" t="str">
        <f>VLOOKUP(Tabla3[[#This Row],[Deposito]],'SAPROV (2)'!D:E,2,FALSE)</f>
        <v>A01</v>
      </c>
      <c r="K368" s="23" t="s">
        <v>23</v>
      </c>
      <c r="L368" s="23" t="str">
        <f>VLOOKUP(Tabla3[[#This Row],[PROVEEDOR]],'SAPROV (2)'!A:B,2,FALSE)</f>
        <v>04</v>
      </c>
      <c r="M368" t="str">
        <f>VLOOKUP(Tabla3[[#This Row],[SERVICIO]],'SAPROV (2)'!I:J,2,FALSE)</f>
        <v>SERV0060</v>
      </c>
      <c r="N368" t="s">
        <v>611</v>
      </c>
      <c r="P368">
        <f>VLOOKUP(Tabla3[[#This Row],[FECHA]],TASA[],2,FALSE)</f>
        <v>325.39</v>
      </c>
      <c r="Q368" s="4">
        <f t="shared" si="45"/>
        <v>-0.65982359629982479</v>
      </c>
      <c r="R368" t="s">
        <v>1253</v>
      </c>
    </row>
    <row r="369" spans="1:18" x14ac:dyDescent="0.25">
      <c r="A369" s="33">
        <v>46031</v>
      </c>
      <c r="B369" s="1">
        <v>676223731009</v>
      </c>
      <c r="C369" s="2" t="s">
        <v>1251</v>
      </c>
      <c r="D369" s="34">
        <v>-103.92</v>
      </c>
      <c r="E369" t="s">
        <v>20</v>
      </c>
      <c r="F369" s="2" t="e">
        <f>VLOOKUP(Tabla3[[#This Row],[CONTABLE]],'SAPROV (2)'!L:M,2,FALSE)</f>
        <v>#N/A</v>
      </c>
      <c r="H369" t="s">
        <v>588</v>
      </c>
      <c r="I369" s="2" t="str">
        <f>VLOOKUP(Tabla3[[#This Row],[Deposito]],'SAPROV (2)'!D:E,2,FALSE)</f>
        <v>A01</v>
      </c>
      <c r="K369" s="23" t="s">
        <v>23</v>
      </c>
      <c r="L369" s="23" t="str">
        <f>VLOOKUP(Tabla3[[#This Row],[PROVEEDOR]],'SAPROV (2)'!A:B,2,FALSE)</f>
        <v>04</v>
      </c>
      <c r="M369" t="str">
        <f>VLOOKUP(Tabla3[[#This Row],[SERVICIO]],'SAPROV (2)'!I:J,2,FALSE)</f>
        <v>SERV0060</v>
      </c>
      <c r="N369" t="s">
        <v>611</v>
      </c>
      <c r="P369">
        <f>VLOOKUP(Tabla3[[#This Row],[FECHA]],TASA[],2,FALSE)</f>
        <v>325.39</v>
      </c>
      <c r="Q369" s="4">
        <f t="shared" si="45"/>
        <v>-0.31937060143212764</v>
      </c>
      <c r="R369" t="s">
        <v>1253</v>
      </c>
    </row>
    <row r="370" spans="1:18" x14ac:dyDescent="0.25">
      <c r="A370" s="33">
        <v>46031</v>
      </c>
      <c r="B370" s="1">
        <v>676223733009</v>
      </c>
      <c r="C370" s="2" t="s">
        <v>1251</v>
      </c>
      <c r="D370" s="34">
        <v>-119.98</v>
      </c>
      <c r="E370" t="s">
        <v>20</v>
      </c>
      <c r="F370" s="2" t="e">
        <f>VLOOKUP(Tabla3[[#This Row],[CONTABLE]],'SAPROV (2)'!L:M,2,FALSE)</f>
        <v>#N/A</v>
      </c>
      <c r="H370" t="s">
        <v>588</v>
      </c>
      <c r="I370" s="2" t="str">
        <f>VLOOKUP(Tabla3[[#This Row],[Deposito]],'SAPROV (2)'!D:E,2,FALSE)</f>
        <v>A01</v>
      </c>
      <c r="K370" s="23" t="s">
        <v>23</v>
      </c>
      <c r="L370" s="2" t="str">
        <f>VLOOKUP(Tabla3[[#This Row],[PROVEEDOR]],'SAPROV (2)'!A:B,2,FALSE)</f>
        <v>04</v>
      </c>
      <c r="M370" t="str">
        <f>VLOOKUP(Tabla3[[#This Row],[SERVICIO]],'SAPROV (2)'!I:J,2,FALSE)</f>
        <v>SERV0060</v>
      </c>
      <c r="N370" t="s">
        <v>611</v>
      </c>
      <c r="P370">
        <f>VLOOKUP(Tabla3[[#This Row],[FECHA]],TASA[],2,FALSE)</f>
        <v>325.39</v>
      </c>
      <c r="Q370" s="4">
        <f t="shared" ref="Q370:Q371" si="46">D370/P370</f>
        <v>-0.36872675865884019</v>
      </c>
      <c r="R370" t="s">
        <v>1253</v>
      </c>
    </row>
    <row r="371" spans="1:18" x14ac:dyDescent="0.25">
      <c r="A371" s="33">
        <v>46031</v>
      </c>
      <c r="B371" s="1">
        <v>676223728006</v>
      </c>
      <c r="C371" s="2" t="s">
        <v>1251</v>
      </c>
      <c r="D371" s="34">
        <v>-722.32</v>
      </c>
      <c r="E371" t="s">
        <v>20</v>
      </c>
      <c r="F371" s="2" t="e">
        <f>VLOOKUP(Tabla3[[#This Row],[CONTABLE]],'SAPROV (2)'!L:M,2,FALSE)</f>
        <v>#N/A</v>
      </c>
      <c r="H371" t="s">
        <v>588</v>
      </c>
      <c r="I371" s="2" t="str">
        <f>VLOOKUP(Tabla3[[#This Row],[Deposito]],'SAPROV (2)'!D:E,2,FALSE)</f>
        <v>A01</v>
      </c>
      <c r="K371" s="23" t="s">
        <v>23</v>
      </c>
      <c r="L371" s="23" t="str">
        <f>VLOOKUP(Tabla3[[#This Row],[PROVEEDOR]],'SAPROV (2)'!A:B,2,FALSE)</f>
        <v>04</v>
      </c>
      <c r="M371" t="str">
        <f>VLOOKUP(Tabla3[[#This Row],[SERVICIO]],'SAPROV (2)'!I:J,2,FALSE)</f>
        <v>SERV0060</v>
      </c>
      <c r="N371" t="s">
        <v>611</v>
      </c>
      <c r="P371">
        <f>VLOOKUP(Tabla3[[#This Row],[FECHA]],TASA[],2,FALSE)</f>
        <v>325.39</v>
      </c>
      <c r="Q371" s="4">
        <f t="shared" si="46"/>
        <v>-2.2198592458280832</v>
      </c>
      <c r="R371" t="s">
        <v>1253</v>
      </c>
    </row>
    <row r="372" spans="1:18" x14ac:dyDescent="0.25">
      <c r="A372" s="33">
        <v>46031</v>
      </c>
      <c r="B372" s="1">
        <v>676223724002</v>
      </c>
      <c r="C372" s="2" t="s">
        <v>1251</v>
      </c>
      <c r="D372" s="34">
        <v>-3.54</v>
      </c>
      <c r="E372" t="s">
        <v>20</v>
      </c>
      <c r="F372" s="2" t="e">
        <f>VLOOKUP(Tabla3[[#This Row],[CONTABLE]],'SAPROV (2)'!L:M,2,FALSE)</f>
        <v>#N/A</v>
      </c>
      <c r="H372" t="s">
        <v>588</v>
      </c>
      <c r="I372" s="2" t="str">
        <f>VLOOKUP(Tabla3[[#This Row],[Deposito]],'SAPROV (2)'!D:E,2,FALSE)</f>
        <v>A01</v>
      </c>
      <c r="K372" s="23" t="s">
        <v>23</v>
      </c>
      <c r="L372" s="23" t="str">
        <f>VLOOKUP(Tabla3[[#This Row],[PROVEEDOR]],'SAPROV (2)'!A:B,2,FALSE)</f>
        <v>04</v>
      </c>
      <c r="M372" t="str">
        <f>VLOOKUP(Tabla3[[#This Row],[SERVICIO]],'SAPROV (2)'!I:J,2,FALSE)</f>
        <v>SERV0060</v>
      </c>
      <c r="N372" t="s">
        <v>611</v>
      </c>
      <c r="P372">
        <f>VLOOKUP(Tabla3[[#This Row],[FECHA]],TASA[],2,FALSE)</f>
        <v>325.39</v>
      </c>
      <c r="Q372" s="4">
        <f t="shared" ref="Q372:Q380" si="47">D372/P372</f>
        <v>-1.0879252589200653E-2</v>
      </c>
      <c r="R372" t="s">
        <v>1253</v>
      </c>
    </row>
    <row r="373" spans="1:18" x14ac:dyDescent="0.25">
      <c r="A373" s="33">
        <v>46031</v>
      </c>
      <c r="B373" s="1">
        <v>676223726004</v>
      </c>
      <c r="C373" s="2" t="s">
        <v>1251</v>
      </c>
      <c r="D373" s="34">
        <v>-50.4</v>
      </c>
      <c r="E373" t="s">
        <v>20</v>
      </c>
      <c r="F373" s="2" t="e">
        <f>VLOOKUP(Tabla3[[#This Row],[CONTABLE]],'SAPROV (2)'!L:M,2,FALSE)</f>
        <v>#N/A</v>
      </c>
      <c r="H373" t="s">
        <v>588</v>
      </c>
      <c r="I373" s="2" t="str">
        <f>VLOOKUP(Tabla3[[#This Row],[Deposito]],'SAPROV (2)'!D:E,2,FALSE)</f>
        <v>A01</v>
      </c>
      <c r="K373" s="23" t="s">
        <v>23</v>
      </c>
      <c r="L373" s="2" t="str">
        <f>VLOOKUP(Tabla3[[#This Row],[PROVEEDOR]],'SAPROV (2)'!A:B,2,FALSE)</f>
        <v>04</v>
      </c>
      <c r="M373" t="str">
        <f>VLOOKUP(Tabla3[[#This Row],[SERVICIO]],'SAPROV (2)'!I:J,2,FALSE)</f>
        <v>SERV0060</v>
      </c>
      <c r="N373" t="s">
        <v>611</v>
      </c>
      <c r="P373">
        <f>VLOOKUP(Tabla3[[#This Row],[FECHA]],TASA[],2,FALSE)</f>
        <v>325.39</v>
      </c>
      <c r="Q373" s="4">
        <f t="shared" si="47"/>
        <v>-0.15489105381234827</v>
      </c>
      <c r="R373" t="s">
        <v>1253</v>
      </c>
    </row>
    <row r="374" spans="1:18" x14ac:dyDescent="0.25">
      <c r="A374" s="33">
        <v>46031</v>
      </c>
      <c r="B374" s="1">
        <v>676223725003</v>
      </c>
      <c r="C374" s="2" t="s">
        <v>1251</v>
      </c>
      <c r="D374" s="34">
        <v>-7.32</v>
      </c>
      <c r="E374" t="s">
        <v>20</v>
      </c>
      <c r="F374" s="2" t="e">
        <f>VLOOKUP(Tabla3[[#This Row],[CONTABLE]],'SAPROV (2)'!L:M,2,FALSE)</f>
        <v>#N/A</v>
      </c>
      <c r="H374" t="s">
        <v>588</v>
      </c>
      <c r="I374" s="2" t="str">
        <f>VLOOKUP(Tabla3[[#This Row],[Deposito]],'SAPROV (2)'!D:E,2,FALSE)</f>
        <v>A01</v>
      </c>
      <c r="K374" s="23" t="s">
        <v>23</v>
      </c>
      <c r="L374" s="23" t="str">
        <f>VLOOKUP(Tabla3[[#This Row],[PROVEEDOR]],'SAPROV (2)'!A:B,2,FALSE)</f>
        <v>04</v>
      </c>
      <c r="M374" t="str">
        <f>VLOOKUP(Tabla3[[#This Row],[SERVICIO]],'SAPROV (2)'!I:J,2,FALSE)</f>
        <v>SERV0060</v>
      </c>
      <c r="N374" t="s">
        <v>611</v>
      </c>
      <c r="P374">
        <f>VLOOKUP(Tabla3[[#This Row],[FECHA]],TASA[],2,FALSE)</f>
        <v>325.39</v>
      </c>
      <c r="Q374" s="4">
        <f t="shared" si="47"/>
        <v>-2.2496081625126774E-2</v>
      </c>
      <c r="R374" t="s">
        <v>1253</v>
      </c>
    </row>
    <row r="375" spans="1:18" x14ac:dyDescent="0.25">
      <c r="A375" s="33">
        <v>46031</v>
      </c>
      <c r="B375" s="1">
        <v>676223735013</v>
      </c>
      <c r="C375" s="2" t="s">
        <v>1251</v>
      </c>
      <c r="D375" s="34">
        <v>-384.27</v>
      </c>
      <c r="E375" t="s">
        <v>20</v>
      </c>
      <c r="F375" s="2" t="e">
        <f>VLOOKUP(Tabla3[[#This Row],[CONTABLE]],'SAPROV (2)'!L:M,2,FALSE)</f>
        <v>#N/A</v>
      </c>
      <c r="H375" t="s">
        <v>588</v>
      </c>
      <c r="I375" s="2" t="str">
        <f>VLOOKUP(Tabla3[[#This Row],[Deposito]],'SAPROV (2)'!D:E,2,FALSE)</f>
        <v>A01</v>
      </c>
      <c r="K375" s="23" t="s">
        <v>23</v>
      </c>
      <c r="L375" s="23" t="str">
        <f>VLOOKUP(Tabla3[[#This Row],[PROVEEDOR]],'SAPROV (2)'!A:B,2,FALSE)</f>
        <v>04</v>
      </c>
      <c r="M375" t="str">
        <f>VLOOKUP(Tabla3[[#This Row],[SERVICIO]],'SAPROV (2)'!I:J,2,FALSE)</f>
        <v>SERV0060</v>
      </c>
      <c r="N375" t="s">
        <v>611</v>
      </c>
      <c r="P375">
        <f>VLOOKUP(Tabla3[[#This Row],[FECHA]],TASA[],2,FALSE)</f>
        <v>325.39</v>
      </c>
      <c r="Q375" s="4">
        <f t="shared" si="47"/>
        <v>-1.1809520882633149</v>
      </c>
      <c r="R375" t="s">
        <v>1253</v>
      </c>
    </row>
    <row r="376" spans="1:18" x14ac:dyDescent="0.25">
      <c r="A376" s="33">
        <v>46034</v>
      </c>
      <c r="B376" s="1">
        <v>676237137002</v>
      </c>
      <c r="C376" s="2" t="s">
        <v>1251</v>
      </c>
      <c r="D376" s="34">
        <v>-331.08</v>
      </c>
      <c r="E376" t="s">
        <v>20</v>
      </c>
      <c r="F376" s="2" t="e">
        <f>VLOOKUP(Tabla3[[#This Row],[CONTABLE]],'SAPROV (2)'!L:M,2,FALSE)</f>
        <v>#N/A</v>
      </c>
      <c r="H376" t="s">
        <v>588</v>
      </c>
      <c r="I376" s="2" t="str">
        <f>VLOOKUP(Tabla3[[#This Row],[Deposito]],'SAPROV (2)'!D:E,2,FALSE)</f>
        <v>A01</v>
      </c>
      <c r="K376" s="23" t="s">
        <v>23</v>
      </c>
      <c r="L376" s="2" t="str">
        <f>VLOOKUP(Tabla3[[#This Row],[PROVEEDOR]],'SAPROV (2)'!A:B,2,FALSE)</f>
        <v>04</v>
      </c>
      <c r="M376" t="str">
        <f>VLOOKUP(Tabla3[[#This Row],[SERVICIO]],'SAPROV (2)'!I:J,2,FALSE)</f>
        <v>SERV0060</v>
      </c>
      <c r="N376" t="s">
        <v>611</v>
      </c>
      <c r="P376">
        <f>VLOOKUP(Tabla3[[#This Row],[FECHA]],TASA[],2,FALSE)</f>
        <v>330.38</v>
      </c>
      <c r="Q376" s="4">
        <f t="shared" si="47"/>
        <v>-1.0021187723227798</v>
      </c>
      <c r="R376" t="s">
        <v>1253</v>
      </c>
    </row>
    <row r="377" spans="1:18" x14ac:dyDescent="0.25">
      <c r="A377" s="33">
        <v>46034</v>
      </c>
      <c r="B377" s="1">
        <v>676237138003</v>
      </c>
      <c r="C377" s="2" t="s">
        <v>1251</v>
      </c>
      <c r="D377" s="34">
        <v>-251.76</v>
      </c>
      <c r="E377" t="s">
        <v>20</v>
      </c>
      <c r="F377" s="2" t="e">
        <f>VLOOKUP(Tabla3[[#This Row],[CONTABLE]],'SAPROV (2)'!L:M,2,FALSE)</f>
        <v>#N/A</v>
      </c>
      <c r="H377" t="s">
        <v>588</v>
      </c>
      <c r="I377" s="2" t="str">
        <f>VLOOKUP(Tabla3[[#This Row],[Deposito]],'SAPROV (2)'!D:E,2,FALSE)</f>
        <v>A01</v>
      </c>
      <c r="K377" s="23" t="s">
        <v>23</v>
      </c>
      <c r="L377" s="23" t="str">
        <f>VLOOKUP(Tabla3[[#This Row],[PROVEEDOR]],'SAPROV (2)'!A:B,2,FALSE)</f>
        <v>04</v>
      </c>
      <c r="M377" t="str">
        <f>VLOOKUP(Tabla3[[#This Row],[SERVICIO]],'SAPROV (2)'!I:J,2,FALSE)</f>
        <v>SERV0060</v>
      </c>
      <c r="N377" t="s">
        <v>611</v>
      </c>
      <c r="P377">
        <f>VLOOKUP(Tabla3[[#This Row],[FECHA]],TASA[],2,FALSE)</f>
        <v>330.38</v>
      </c>
      <c r="Q377" s="4">
        <f t="shared" si="47"/>
        <v>-0.7620315999757854</v>
      </c>
      <c r="R377" t="s">
        <v>1253</v>
      </c>
    </row>
    <row r="378" spans="1:18" x14ac:dyDescent="0.25">
      <c r="A378" s="33">
        <v>46034</v>
      </c>
      <c r="B378" s="1">
        <v>676237139004</v>
      </c>
      <c r="C378" s="2" t="s">
        <v>1251</v>
      </c>
      <c r="D378" s="34">
        <v>-513.55999999999995</v>
      </c>
      <c r="E378" t="s">
        <v>20</v>
      </c>
      <c r="F378" s="2" t="e">
        <f>VLOOKUP(Tabla3[[#This Row],[CONTABLE]],'SAPROV (2)'!L:M,2,FALSE)</f>
        <v>#N/A</v>
      </c>
      <c r="H378" t="s">
        <v>588</v>
      </c>
      <c r="I378" s="2" t="str">
        <f>VLOOKUP(Tabla3[[#This Row],[Deposito]],'SAPROV (2)'!D:E,2,FALSE)</f>
        <v>A01</v>
      </c>
      <c r="K378" s="23" t="s">
        <v>23</v>
      </c>
      <c r="L378" s="23" t="str">
        <f>VLOOKUP(Tabla3[[#This Row],[PROVEEDOR]],'SAPROV (2)'!A:B,2,FALSE)</f>
        <v>04</v>
      </c>
      <c r="M378" t="str">
        <f>VLOOKUP(Tabla3[[#This Row],[SERVICIO]],'SAPROV (2)'!I:J,2,FALSE)</f>
        <v>SERV0060</v>
      </c>
      <c r="N378" t="s">
        <v>611</v>
      </c>
      <c r="P378">
        <f>VLOOKUP(Tabla3[[#This Row],[FECHA]],TASA[],2,FALSE)</f>
        <v>330.38</v>
      </c>
      <c r="Q378" s="4">
        <f t="shared" si="47"/>
        <v>-1.5544524486954414</v>
      </c>
      <c r="R378" t="s">
        <v>1253</v>
      </c>
    </row>
    <row r="379" spans="1:18" x14ac:dyDescent="0.25">
      <c r="A379" s="33">
        <v>46034</v>
      </c>
      <c r="B379" s="1">
        <v>676237136001</v>
      </c>
      <c r="C379" s="2" t="s">
        <v>1251</v>
      </c>
      <c r="D379" s="34">
        <v>-9.2100000000000009</v>
      </c>
      <c r="E379" t="s">
        <v>20</v>
      </c>
      <c r="F379" s="2" t="e">
        <f>VLOOKUP(Tabla3[[#This Row],[CONTABLE]],'SAPROV (2)'!L:M,2,FALSE)</f>
        <v>#N/A</v>
      </c>
      <c r="H379" t="s">
        <v>588</v>
      </c>
      <c r="I379" s="2" t="str">
        <f>VLOOKUP(Tabla3[[#This Row],[Deposito]],'SAPROV (2)'!D:E,2,FALSE)</f>
        <v>A01</v>
      </c>
      <c r="K379" s="23" t="s">
        <v>23</v>
      </c>
      <c r="L379" s="2" t="str">
        <f>VLOOKUP(Tabla3[[#This Row],[PROVEEDOR]],'SAPROV (2)'!A:B,2,FALSE)</f>
        <v>04</v>
      </c>
      <c r="M379" t="str">
        <f>VLOOKUP(Tabla3[[#This Row],[SERVICIO]],'SAPROV (2)'!I:J,2,FALSE)</f>
        <v>SERV0060</v>
      </c>
      <c r="N379" t="s">
        <v>611</v>
      </c>
      <c r="P379">
        <f>VLOOKUP(Tabla3[[#This Row],[FECHA]],TASA[],2,FALSE)</f>
        <v>330.38</v>
      </c>
      <c r="Q379" s="4">
        <f t="shared" si="47"/>
        <v>-2.7876990132574615E-2</v>
      </c>
      <c r="R379" t="s">
        <v>1253</v>
      </c>
    </row>
    <row r="380" spans="1:18" x14ac:dyDescent="0.25">
      <c r="A380" s="33">
        <v>46034</v>
      </c>
      <c r="B380" s="1">
        <v>676237141006</v>
      </c>
      <c r="C380" s="2" t="s">
        <v>1251</v>
      </c>
      <c r="D380" s="34">
        <v>-839.48</v>
      </c>
      <c r="E380" t="s">
        <v>20</v>
      </c>
      <c r="F380" s="2" t="e">
        <f>VLOOKUP(Tabla3[[#This Row],[CONTABLE]],'SAPROV (2)'!L:M,2,FALSE)</f>
        <v>#N/A</v>
      </c>
      <c r="H380" t="s">
        <v>588</v>
      </c>
      <c r="I380" s="2" t="str">
        <f>VLOOKUP(Tabla3[[#This Row],[Deposito]],'SAPROV (2)'!D:E,2,FALSE)</f>
        <v>A01</v>
      </c>
      <c r="K380" s="23" t="s">
        <v>23</v>
      </c>
      <c r="L380" s="23" t="str">
        <f>VLOOKUP(Tabla3[[#This Row],[PROVEEDOR]],'SAPROV (2)'!A:B,2,FALSE)</f>
        <v>04</v>
      </c>
      <c r="M380" t="str">
        <f>VLOOKUP(Tabla3[[#This Row],[SERVICIO]],'SAPROV (2)'!I:J,2,FALSE)</f>
        <v>SERV0060</v>
      </c>
      <c r="N380" t="s">
        <v>611</v>
      </c>
      <c r="P380">
        <f>VLOOKUP(Tabla3[[#This Row],[FECHA]],TASA[],2,FALSE)</f>
        <v>330.38</v>
      </c>
      <c r="Q380" s="4">
        <f t="shared" si="47"/>
        <v>-2.54095284218173</v>
      </c>
      <c r="R380" t="s">
        <v>1253</v>
      </c>
    </row>
    <row r="381" spans="1:18" x14ac:dyDescent="0.25">
      <c r="A381" s="33">
        <v>46034</v>
      </c>
      <c r="B381" s="1">
        <v>676237140005</v>
      </c>
      <c r="C381" s="2" t="s">
        <v>1251</v>
      </c>
      <c r="D381" s="34">
        <v>-814.38</v>
      </c>
      <c r="E381" t="s">
        <v>20</v>
      </c>
      <c r="F381" s="2" t="e">
        <f>VLOOKUP(Tabla3[[#This Row],[CONTABLE]],'SAPROV (2)'!L:M,2,FALSE)</f>
        <v>#N/A</v>
      </c>
      <c r="H381" t="s">
        <v>588</v>
      </c>
      <c r="I381" s="2" t="str">
        <f>VLOOKUP(Tabla3[[#This Row],[Deposito]],'SAPROV (2)'!D:E,2,FALSE)</f>
        <v>A01</v>
      </c>
      <c r="K381" s="23" t="s">
        <v>23</v>
      </c>
      <c r="L381" s="23" t="str">
        <f>VLOOKUP(Tabla3[[#This Row],[PROVEEDOR]],'SAPROV (2)'!A:B,2,FALSE)</f>
        <v>04</v>
      </c>
      <c r="M381" t="str">
        <f>VLOOKUP(Tabla3[[#This Row],[SERVICIO]],'SAPROV (2)'!I:J,2,FALSE)</f>
        <v>SERV0060</v>
      </c>
      <c r="N381" t="s">
        <v>611</v>
      </c>
      <c r="P381">
        <f>VLOOKUP(Tabla3[[#This Row],[FECHA]],TASA[],2,FALSE)</f>
        <v>330.38</v>
      </c>
      <c r="Q381" s="4">
        <f t="shared" ref="Q381:Q382" si="48">D381/P381</f>
        <v>-2.4649797203220536</v>
      </c>
      <c r="R381" t="s">
        <v>1253</v>
      </c>
    </row>
    <row r="382" spans="1:18" x14ac:dyDescent="0.25">
      <c r="A382" s="33">
        <v>46034</v>
      </c>
      <c r="B382" s="1">
        <v>676239736008</v>
      </c>
      <c r="C382" s="2" t="s">
        <v>1251</v>
      </c>
      <c r="D382" s="34">
        <v>-306.01</v>
      </c>
      <c r="E382" t="s">
        <v>20</v>
      </c>
      <c r="F382" s="2" t="e">
        <f>VLOOKUP(Tabla3[[#This Row],[CONTABLE]],'SAPROV (2)'!L:M,2,FALSE)</f>
        <v>#N/A</v>
      </c>
      <c r="H382" t="s">
        <v>588</v>
      </c>
      <c r="I382" s="2" t="str">
        <f>VLOOKUP(Tabla3[[#This Row],[Deposito]],'SAPROV (2)'!D:E,2,FALSE)</f>
        <v>A01</v>
      </c>
      <c r="K382" s="23" t="s">
        <v>23</v>
      </c>
      <c r="L382" s="2" t="str">
        <f>VLOOKUP(Tabla3[[#This Row],[PROVEEDOR]],'SAPROV (2)'!A:B,2,FALSE)</f>
        <v>04</v>
      </c>
      <c r="M382" t="str">
        <f>VLOOKUP(Tabla3[[#This Row],[SERVICIO]],'SAPROV (2)'!I:J,2,FALSE)</f>
        <v>SERV0060</v>
      </c>
      <c r="N382" t="s">
        <v>611</v>
      </c>
      <c r="P382">
        <f>VLOOKUP(Tabla3[[#This Row],[FECHA]],TASA[],2,FALSE)</f>
        <v>330.38</v>
      </c>
      <c r="Q382" s="4">
        <f t="shared" si="48"/>
        <v>-0.9262364549912222</v>
      </c>
      <c r="R382" t="s">
        <v>1253</v>
      </c>
    </row>
    <row r="383" spans="1:18" x14ac:dyDescent="0.25">
      <c r="A383" s="33">
        <v>46034</v>
      </c>
      <c r="B383" s="1">
        <v>676239734006</v>
      </c>
      <c r="C383" s="2" t="s">
        <v>1251</v>
      </c>
      <c r="D383" s="34">
        <v>-689.7</v>
      </c>
      <c r="E383" t="s">
        <v>20</v>
      </c>
      <c r="F383" s="2" t="e">
        <f>VLOOKUP(Tabla3[[#This Row],[CONTABLE]],'SAPROV (2)'!L:M,2,FALSE)</f>
        <v>#N/A</v>
      </c>
      <c r="H383" t="s">
        <v>588</v>
      </c>
      <c r="I383" s="2" t="str">
        <f>VLOOKUP(Tabla3[[#This Row],[Deposito]],'SAPROV (2)'!D:E,2,FALSE)</f>
        <v>A01</v>
      </c>
      <c r="K383" s="23" t="s">
        <v>23</v>
      </c>
      <c r="L383" s="23" t="str">
        <f>VLOOKUP(Tabla3[[#This Row],[PROVEEDOR]],'SAPROV (2)'!A:B,2,FALSE)</f>
        <v>04</v>
      </c>
      <c r="M383" t="str">
        <f>VLOOKUP(Tabla3[[#This Row],[SERVICIO]],'SAPROV (2)'!I:J,2,FALSE)</f>
        <v>SERV0060</v>
      </c>
      <c r="N383" t="s">
        <v>611</v>
      </c>
      <c r="P383">
        <f>VLOOKUP(Tabla3[[#This Row],[FECHA]],TASA[],2,FALSE)</f>
        <v>330.38</v>
      </c>
      <c r="Q383" s="4">
        <f t="shared" ref="Q383:Q397" si="49">D383/P383</f>
        <v>-2.0875961014589262</v>
      </c>
      <c r="R383" t="s">
        <v>1253</v>
      </c>
    </row>
    <row r="384" spans="1:18" x14ac:dyDescent="0.25">
      <c r="A384" s="33">
        <v>46034</v>
      </c>
      <c r="B384" s="1">
        <v>676239733005</v>
      </c>
      <c r="C384" s="2" t="s">
        <v>1251</v>
      </c>
      <c r="D384" s="34">
        <v>-89.45</v>
      </c>
      <c r="E384" t="s">
        <v>20</v>
      </c>
      <c r="F384" s="2" t="e">
        <f>VLOOKUP(Tabla3[[#This Row],[CONTABLE]],'SAPROV (2)'!L:M,2,FALSE)</f>
        <v>#N/A</v>
      </c>
      <c r="H384" t="s">
        <v>588</v>
      </c>
      <c r="I384" s="2" t="str">
        <f>VLOOKUP(Tabla3[[#This Row],[Deposito]],'SAPROV (2)'!D:E,2,FALSE)</f>
        <v>A01</v>
      </c>
      <c r="K384" s="23" t="s">
        <v>23</v>
      </c>
      <c r="L384" s="23" t="str">
        <f>VLOOKUP(Tabla3[[#This Row],[PROVEEDOR]],'SAPROV (2)'!A:B,2,FALSE)</f>
        <v>04</v>
      </c>
      <c r="M384" t="str">
        <f>VLOOKUP(Tabla3[[#This Row],[SERVICIO]],'SAPROV (2)'!I:J,2,FALSE)</f>
        <v>SERV0060</v>
      </c>
      <c r="N384" t="s">
        <v>611</v>
      </c>
      <c r="P384">
        <f>VLOOKUP(Tabla3[[#This Row],[FECHA]],TASA[],2,FALSE)</f>
        <v>330.38</v>
      </c>
      <c r="Q384" s="4">
        <f t="shared" si="49"/>
        <v>-0.27074883467522248</v>
      </c>
      <c r="R384" t="s">
        <v>1253</v>
      </c>
    </row>
    <row r="385" spans="1:18" x14ac:dyDescent="0.25">
      <c r="A385" s="33">
        <v>46034</v>
      </c>
      <c r="B385" s="1">
        <v>676239730002</v>
      </c>
      <c r="C385" s="2" t="s">
        <v>1251</v>
      </c>
      <c r="D385" s="34">
        <v>-80.03</v>
      </c>
      <c r="E385" t="s">
        <v>20</v>
      </c>
      <c r="F385" s="2" t="e">
        <f>VLOOKUP(Tabla3[[#This Row],[CONTABLE]],'SAPROV (2)'!L:M,2,FALSE)</f>
        <v>#N/A</v>
      </c>
      <c r="H385" t="s">
        <v>588</v>
      </c>
      <c r="I385" s="2" t="str">
        <f>VLOOKUP(Tabla3[[#This Row],[Deposito]],'SAPROV (2)'!D:E,2,FALSE)</f>
        <v>A01</v>
      </c>
      <c r="K385" s="23" t="s">
        <v>23</v>
      </c>
      <c r="L385" s="2" t="str">
        <f>VLOOKUP(Tabla3[[#This Row],[PROVEEDOR]],'SAPROV (2)'!A:B,2,FALSE)</f>
        <v>04</v>
      </c>
      <c r="M385" t="str">
        <f>VLOOKUP(Tabla3[[#This Row],[SERVICIO]],'SAPROV (2)'!I:J,2,FALSE)</f>
        <v>SERV0060</v>
      </c>
      <c r="N385" t="s">
        <v>611</v>
      </c>
      <c r="P385">
        <f>VLOOKUP(Tabla3[[#This Row],[FECHA]],TASA[],2,FALSE)</f>
        <v>330.38</v>
      </c>
      <c r="Q385" s="4">
        <f t="shared" si="49"/>
        <v>-0.24223621284581393</v>
      </c>
      <c r="R385" t="s">
        <v>1253</v>
      </c>
    </row>
    <row r="386" spans="1:18" x14ac:dyDescent="0.25">
      <c r="A386" s="33">
        <v>46034</v>
      </c>
      <c r="B386" s="1">
        <v>676239737009</v>
      </c>
      <c r="C386" s="2" t="s">
        <v>1251</v>
      </c>
      <c r="D386" s="34">
        <v>-134.16999999999999</v>
      </c>
      <c r="E386" t="s">
        <v>20</v>
      </c>
      <c r="F386" s="2" t="e">
        <f>VLOOKUP(Tabla3[[#This Row],[CONTABLE]],'SAPROV (2)'!L:M,2,FALSE)</f>
        <v>#N/A</v>
      </c>
      <c r="H386" t="s">
        <v>588</v>
      </c>
      <c r="I386" s="2" t="str">
        <f>VLOOKUP(Tabla3[[#This Row],[Deposito]],'SAPROV (2)'!D:E,2,FALSE)</f>
        <v>A01</v>
      </c>
      <c r="K386" s="23" t="s">
        <v>23</v>
      </c>
      <c r="L386" s="23" t="str">
        <f>VLOOKUP(Tabla3[[#This Row],[PROVEEDOR]],'SAPROV (2)'!A:B,2,FALSE)</f>
        <v>04</v>
      </c>
      <c r="M386" t="str">
        <f>VLOOKUP(Tabla3[[#This Row],[SERVICIO]],'SAPROV (2)'!I:J,2,FALSE)</f>
        <v>SERV0060</v>
      </c>
      <c r="N386" t="s">
        <v>611</v>
      </c>
      <c r="P386">
        <f>VLOOKUP(Tabla3[[#This Row],[FECHA]],TASA[],2,FALSE)</f>
        <v>330.38</v>
      </c>
      <c r="Q386" s="4">
        <f t="shared" si="49"/>
        <v>-0.40610811792481383</v>
      </c>
      <c r="R386" t="s">
        <v>1253</v>
      </c>
    </row>
    <row r="387" spans="1:18" x14ac:dyDescent="0.25">
      <c r="A387" s="33">
        <v>46034</v>
      </c>
      <c r="B387" s="1">
        <v>676239729001</v>
      </c>
      <c r="C387" s="2" t="s">
        <v>1251</v>
      </c>
      <c r="D387" s="34">
        <v>-16.47</v>
      </c>
      <c r="E387" t="s">
        <v>20</v>
      </c>
      <c r="F387" s="2" t="e">
        <f>VLOOKUP(Tabla3[[#This Row],[CONTABLE]],'SAPROV (2)'!L:M,2,FALSE)</f>
        <v>#N/A</v>
      </c>
      <c r="H387" t="s">
        <v>588</v>
      </c>
      <c r="I387" s="2" t="str">
        <f>VLOOKUP(Tabla3[[#This Row],[Deposito]],'SAPROV (2)'!D:E,2,FALSE)</f>
        <v>A01</v>
      </c>
      <c r="K387" s="23" t="s">
        <v>23</v>
      </c>
      <c r="L387" s="23" t="str">
        <f>VLOOKUP(Tabla3[[#This Row],[PROVEEDOR]],'SAPROV (2)'!A:B,2,FALSE)</f>
        <v>04</v>
      </c>
      <c r="M387" t="str">
        <f>VLOOKUP(Tabla3[[#This Row],[SERVICIO]],'SAPROV (2)'!I:J,2,FALSE)</f>
        <v>SERV0060</v>
      </c>
      <c r="N387" t="s">
        <v>611</v>
      </c>
      <c r="P387">
        <f>VLOOKUP(Tabla3[[#This Row],[FECHA]],TASA[],2,FALSE)</f>
        <v>330.38</v>
      </c>
      <c r="Q387" s="4">
        <f t="shared" si="49"/>
        <v>-4.985168593740541E-2</v>
      </c>
      <c r="R387" t="s">
        <v>1253</v>
      </c>
    </row>
    <row r="388" spans="1:18" x14ac:dyDescent="0.25">
      <c r="A388" s="33">
        <v>46034</v>
      </c>
      <c r="B388" s="1">
        <v>676239731003</v>
      </c>
      <c r="C388" s="2" t="s">
        <v>1251</v>
      </c>
      <c r="D388" s="34">
        <v>-298.12</v>
      </c>
      <c r="E388" t="s">
        <v>20</v>
      </c>
      <c r="F388" s="2" t="e">
        <f>VLOOKUP(Tabla3[[#This Row],[CONTABLE]],'SAPROV (2)'!L:M,2,FALSE)</f>
        <v>#N/A</v>
      </c>
      <c r="H388" t="s">
        <v>588</v>
      </c>
      <c r="I388" s="2" t="str">
        <f>VLOOKUP(Tabla3[[#This Row],[Deposito]],'SAPROV (2)'!D:E,2,FALSE)</f>
        <v>A01</v>
      </c>
      <c r="K388" s="23" t="s">
        <v>23</v>
      </c>
      <c r="L388" s="2" t="str">
        <f>VLOOKUP(Tabla3[[#This Row],[PROVEEDOR]],'SAPROV (2)'!A:B,2,FALSE)</f>
        <v>04</v>
      </c>
      <c r="M388" t="str">
        <f>VLOOKUP(Tabla3[[#This Row],[SERVICIO]],'SAPROV (2)'!I:J,2,FALSE)</f>
        <v>SERV0060</v>
      </c>
      <c r="N388" t="s">
        <v>611</v>
      </c>
      <c r="P388">
        <f>VLOOKUP(Tabla3[[#This Row],[FECHA]],TASA[],2,FALSE)</f>
        <v>330.38</v>
      </c>
      <c r="Q388" s="4">
        <f t="shared" si="49"/>
        <v>-0.90235486409588961</v>
      </c>
      <c r="R388" t="s">
        <v>1253</v>
      </c>
    </row>
    <row r="389" spans="1:18" x14ac:dyDescent="0.25">
      <c r="A389" s="33">
        <v>46034</v>
      </c>
      <c r="B389" s="1">
        <v>676239735007</v>
      </c>
      <c r="C389" s="2" t="s">
        <v>1251</v>
      </c>
      <c r="D389" s="34">
        <v>-470.79</v>
      </c>
      <c r="E389" t="s">
        <v>20</v>
      </c>
      <c r="F389" s="2" t="e">
        <f>VLOOKUP(Tabla3[[#This Row],[CONTABLE]],'SAPROV (2)'!L:M,2,FALSE)</f>
        <v>#N/A</v>
      </c>
      <c r="H389" t="s">
        <v>588</v>
      </c>
      <c r="I389" s="2" t="str">
        <f>VLOOKUP(Tabla3[[#This Row],[Deposito]],'SAPROV (2)'!D:E,2,FALSE)</f>
        <v>A01</v>
      </c>
      <c r="K389" s="23" t="s">
        <v>23</v>
      </c>
      <c r="L389" s="23" t="str">
        <f>VLOOKUP(Tabla3[[#This Row],[PROVEEDOR]],'SAPROV (2)'!A:B,2,FALSE)</f>
        <v>04</v>
      </c>
      <c r="M389" t="str">
        <f>VLOOKUP(Tabla3[[#This Row],[SERVICIO]],'SAPROV (2)'!I:J,2,FALSE)</f>
        <v>SERV0060</v>
      </c>
      <c r="N389" t="s">
        <v>611</v>
      </c>
      <c r="P389">
        <f>VLOOKUP(Tabla3[[#This Row],[FECHA]],TASA[],2,FALSE)</f>
        <v>330.38</v>
      </c>
      <c r="Q389" s="4">
        <f t="shared" si="49"/>
        <v>-1.4249954597735941</v>
      </c>
      <c r="R389" t="s">
        <v>1253</v>
      </c>
    </row>
    <row r="390" spans="1:18" x14ac:dyDescent="0.25">
      <c r="A390" s="33">
        <v>46034</v>
      </c>
      <c r="B390" s="1">
        <v>676239732004</v>
      </c>
      <c r="C390" s="2" t="s">
        <v>1251</v>
      </c>
      <c r="D390" s="34">
        <v>-232.21</v>
      </c>
      <c r="E390" t="s">
        <v>20</v>
      </c>
      <c r="F390" s="2" t="e">
        <f>VLOOKUP(Tabla3[[#This Row],[CONTABLE]],'SAPROV (2)'!L:M,2,FALSE)</f>
        <v>#N/A</v>
      </c>
      <c r="H390" t="s">
        <v>588</v>
      </c>
      <c r="I390" s="2" t="str">
        <f>VLOOKUP(Tabla3[[#This Row],[Deposito]],'SAPROV (2)'!D:E,2,FALSE)</f>
        <v>A01</v>
      </c>
      <c r="K390" s="23" t="s">
        <v>23</v>
      </c>
      <c r="L390" s="23" t="str">
        <f>VLOOKUP(Tabla3[[#This Row],[PROVEEDOR]],'SAPROV (2)'!A:B,2,FALSE)</f>
        <v>04</v>
      </c>
      <c r="M390" t="str">
        <f>VLOOKUP(Tabla3[[#This Row],[SERVICIO]],'SAPROV (2)'!I:J,2,FALSE)</f>
        <v>SERV0060</v>
      </c>
      <c r="N390" t="s">
        <v>611</v>
      </c>
      <c r="P390">
        <f>VLOOKUP(Tabla3[[#This Row],[FECHA]],TASA[],2,FALSE)</f>
        <v>330.38</v>
      </c>
      <c r="Q390" s="4">
        <f t="shared" si="49"/>
        <v>-0.70285731581814881</v>
      </c>
      <c r="R390" t="s">
        <v>1253</v>
      </c>
    </row>
    <row r="391" spans="1:18" x14ac:dyDescent="0.25">
      <c r="A391" s="33">
        <v>46035</v>
      </c>
      <c r="B391" s="1">
        <v>676211216004</v>
      </c>
      <c r="C391" s="2" t="s">
        <v>1251</v>
      </c>
      <c r="D391" s="34">
        <v>-227.71</v>
      </c>
      <c r="E391" t="s">
        <v>20</v>
      </c>
      <c r="F391" s="2" t="e">
        <f>VLOOKUP(Tabla3[[#This Row],[CONTABLE]],'SAPROV (2)'!L:M,2,FALSE)</f>
        <v>#N/A</v>
      </c>
      <c r="H391" t="s">
        <v>588</v>
      </c>
      <c r="I391" s="2" t="str">
        <f>VLOOKUP(Tabla3[[#This Row],[Deposito]],'SAPROV (2)'!D:E,2,FALSE)</f>
        <v>A01</v>
      </c>
      <c r="K391" s="23" t="s">
        <v>23</v>
      </c>
      <c r="L391" s="2" t="str">
        <f>VLOOKUP(Tabla3[[#This Row],[PROVEEDOR]],'SAPROV (2)'!A:B,2,FALSE)</f>
        <v>04</v>
      </c>
      <c r="M391" t="str">
        <f>VLOOKUP(Tabla3[[#This Row],[SERVICIO]],'SAPROV (2)'!I:J,2,FALSE)</f>
        <v>SERV0060</v>
      </c>
      <c r="N391" t="s">
        <v>611</v>
      </c>
      <c r="P391">
        <f>VLOOKUP(Tabla3[[#This Row],[FECHA]],TASA[],2,FALSE)</f>
        <v>330.38</v>
      </c>
      <c r="Q391" s="4">
        <f t="shared" si="49"/>
        <v>-0.68923663660027845</v>
      </c>
      <c r="R391" t="s">
        <v>1253</v>
      </c>
    </row>
    <row r="392" spans="1:18" x14ac:dyDescent="0.25">
      <c r="A392" s="33">
        <v>46035</v>
      </c>
      <c r="B392" s="1">
        <v>676211218006</v>
      </c>
      <c r="C392" s="2" t="s">
        <v>1251</v>
      </c>
      <c r="D392" s="34">
        <v>-134.13</v>
      </c>
      <c r="E392" t="s">
        <v>20</v>
      </c>
      <c r="F392" s="2" t="e">
        <f>VLOOKUP(Tabla3[[#This Row],[CONTABLE]],'SAPROV (2)'!L:M,2,FALSE)</f>
        <v>#N/A</v>
      </c>
      <c r="H392" t="s">
        <v>588</v>
      </c>
      <c r="I392" s="2" t="str">
        <f>VLOOKUP(Tabla3[[#This Row],[Deposito]],'SAPROV (2)'!D:E,2,FALSE)</f>
        <v>A01</v>
      </c>
      <c r="K392" s="23" t="s">
        <v>23</v>
      </c>
      <c r="L392" s="23" t="str">
        <f>VLOOKUP(Tabla3[[#This Row],[PROVEEDOR]],'SAPROV (2)'!A:B,2,FALSE)</f>
        <v>04</v>
      </c>
      <c r="M392" t="str">
        <f>VLOOKUP(Tabla3[[#This Row],[SERVICIO]],'SAPROV (2)'!I:J,2,FALSE)</f>
        <v>SERV0060</v>
      </c>
      <c r="N392" t="s">
        <v>611</v>
      </c>
      <c r="P392">
        <f>VLOOKUP(Tabla3[[#This Row],[FECHA]],TASA[],2,FALSE)</f>
        <v>330.38</v>
      </c>
      <c r="Q392" s="4">
        <f t="shared" si="49"/>
        <v>-0.40598704522065499</v>
      </c>
      <c r="R392" t="s">
        <v>1253</v>
      </c>
    </row>
    <row r="393" spans="1:18" x14ac:dyDescent="0.25">
      <c r="A393" s="33">
        <v>46035</v>
      </c>
      <c r="B393" s="1">
        <v>676211217005</v>
      </c>
      <c r="C393" s="2" t="s">
        <v>1251</v>
      </c>
      <c r="D393" s="34">
        <v>-93.13</v>
      </c>
      <c r="E393" t="s">
        <v>20</v>
      </c>
      <c r="F393" s="2" t="e">
        <f>VLOOKUP(Tabla3[[#This Row],[CONTABLE]],'SAPROV (2)'!L:M,2,FALSE)</f>
        <v>#N/A</v>
      </c>
      <c r="H393" t="s">
        <v>588</v>
      </c>
      <c r="I393" s="2" t="str">
        <f>VLOOKUP(Tabla3[[#This Row],[Deposito]],'SAPROV (2)'!D:E,2,FALSE)</f>
        <v>A01</v>
      </c>
      <c r="K393" s="23" t="s">
        <v>23</v>
      </c>
      <c r="L393" s="23" t="str">
        <f>VLOOKUP(Tabla3[[#This Row],[PROVEEDOR]],'SAPROV (2)'!A:B,2,FALSE)</f>
        <v>04</v>
      </c>
      <c r="M393" t="str">
        <f>VLOOKUP(Tabla3[[#This Row],[SERVICIO]],'SAPROV (2)'!I:J,2,FALSE)</f>
        <v>SERV0060</v>
      </c>
      <c r="N393" t="s">
        <v>611</v>
      </c>
      <c r="P393">
        <f>VLOOKUP(Tabla3[[#This Row],[FECHA]],TASA[],2,FALSE)</f>
        <v>330.38</v>
      </c>
      <c r="Q393" s="4">
        <f t="shared" si="49"/>
        <v>-0.28188752345783641</v>
      </c>
      <c r="R393" t="s">
        <v>1253</v>
      </c>
    </row>
    <row r="394" spans="1:18" x14ac:dyDescent="0.25">
      <c r="A394" s="33">
        <v>46035</v>
      </c>
      <c r="B394" s="1">
        <v>676211214002</v>
      </c>
      <c r="C394" s="2" t="s">
        <v>1251</v>
      </c>
      <c r="D394" s="34">
        <v>-15693.05</v>
      </c>
      <c r="E394" t="s">
        <v>20</v>
      </c>
      <c r="F394" s="2" t="e">
        <f>VLOOKUP(Tabla3[[#This Row],[CONTABLE]],'SAPROV (2)'!L:M,2,FALSE)</f>
        <v>#N/A</v>
      </c>
      <c r="H394" t="s">
        <v>588</v>
      </c>
      <c r="I394" s="2" t="str">
        <f>VLOOKUP(Tabla3[[#This Row],[Deposito]],'SAPROV (2)'!D:E,2,FALSE)</f>
        <v>A01</v>
      </c>
      <c r="K394" s="23" t="s">
        <v>23</v>
      </c>
      <c r="L394" s="2" t="str">
        <f>VLOOKUP(Tabla3[[#This Row],[PROVEEDOR]],'SAPROV (2)'!A:B,2,FALSE)</f>
        <v>04</v>
      </c>
      <c r="M394" t="str">
        <f>VLOOKUP(Tabla3[[#This Row],[SERVICIO]],'SAPROV (2)'!I:J,2,FALSE)</f>
        <v>SERV0060</v>
      </c>
      <c r="N394" t="s">
        <v>611</v>
      </c>
      <c r="P394">
        <f>VLOOKUP(Tabla3[[#This Row],[FECHA]],TASA[],2,FALSE)</f>
        <v>330.38</v>
      </c>
      <c r="Q394" s="4">
        <f t="shared" si="49"/>
        <v>-47.5</v>
      </c>
      <c r="R394" t="s">
        <v>1253</v>
      </c>
    </row>
    <row r="395" spans="1:18" x14ac:dyDescent="0.25">
      <c r="A395" s="33">
        <v>46035</v>
      </c>
      <c r="B395" s="1">
        <v>676211215003</v>
      </c>
      <c r="C395" s="2" t="s">
        <v>1251</v>
      </c>
      <c r="D395" s="34">
        <v>-233.85</v>
      </c>
      <c r="E395" t="s">
        <v>20</v>
      </c>
      <c r="F395" s="2" t="e">
        <f>VLOOKUP(Tabla3[[#This Row],[CONTABLE]],'SAPROV (2)'!L:M,2,FALSE)</f>
        <v>#N/A</v>
      </c>
      <c r="H395" t="s">
        <v>588</v>
      </c>
      <c r="I395" s="2" t="str">
        <f>VLOOKUP(Tabla3[[#This Row],[Deposito]],'SAPROV (2)'!D:E,2,FALSE)</f>
        <v>A01</v>
      </c>
      <c r="K395" s="23" t="s">
        <v>23</v>
      </c>
      <c r="L395" s="23" t="str">
        <f>VLOOKUP(Tabla3[[#This Row],[PROVEEDOR]],'SAPROV (2)'!A:B,2,FALSE)</f>
        <v>04</v>
      </c>
      <c r="M395" t="str">
        <f>VLOOKUP(Tabla3[[#This Row],[SERVICIO]],'SAPROV (2)'!I:J,2,FALSE)</f>
        <v>SERV0060</v>
      </c>
      <c r="N395" t="s">
        <v>611</v>
      </c>
      <c r="P395">
        <f>VLOOKUP(Tabla3[[#This Row],[FECHA]],TASA[],2,FALSE)</f>
        <v>330.38</v>
      </c>
      <c r="Q395" s="4">
        <f t="shared" si="49"/>
        <v>-0.70782129668866156</v>
      </c>
      <c r="R395" t="s">
        <v>1253</v>
      </c>
    </row>
    <row r="396" spans="1:18" x14ac:dyDescent="0.25">
      <c r="A396" s="33">
        <v>46035</v>
      </c>
      <c r="B396" s="1">
        <v>676211213001</v>
      </c>
      <c r="C396" s="2" t="s">
        <v>1251</v>
      </c>
      <c r="D396" s="34">
        <v>-95.18</v>
      </c>
      <c r="E396" t="s">
        <v>20</v>
      </c>
      <c r="F396" s="2" t="e">
        <f>VLOOKUP(Tabla3[[#This Row],[CONTABLE]],'SAPROV (2)'!L:M,2,FALSE)</f>
        <v>#N/A</v>
      </c>
      <c r="H396" t="s">
        <v>588</v>
      </c>
      <c r="I396" s="2" t="str">
        <f>VLOOKUP(Tabla3[[#This Row],[Deposito]],'SAPROV (2)'!D:E,2,FALSE)</f>
        <v>A01</v>
      </c>
      <c r="K396" s="23" t="s">
        <v>23</v>
      </c>
      <c r="L396" s="23" t="str">
        <f>VLOOKUP(Tabla3[[#This Row],[PROVEEDOR]],'SAPROV (2)'!A:B,2,FALSE)</f>
        <v>04</v>
      </c>
      <c r="M396" t="str">
        <f>VLOOKUP(Tabla3[[#This Row],[SERVICIO]],'SAPROV (2)'!I:J,2,FALSE)</f>
        <v>SERV0060</v>
      </c>
      <c r="N396" t="s">
        <v>611</v>
      </c>
      <c r="P396">
        <f>VLOOKUP(Tabla3[[#This Row],[FECHA]],TASA[],2,FALSE)</f>
        <v>330.38</v>
      </c>
      <c r="Q396" s="4">
        <f t="shared" si="49"/>
        <v>-0.28809249954597738</v>
      </c>
      <c r="R396" t="s">
        <v>1253</v>
      </c>
    </row>
    <row r="397" spans="1:18" x14ac:dyDescent="0.25">
      <c r="A397" s="33">
        <v>46035</v>
      </c>
      <c r="B397" s="1">
        <v>676221263002</v>
      </c>
      <c r="C397" s="2" t="s">
        <v>1251</v>
      </c>
      <c r="D397" s="34">
        <v>-52.69</v>
      </c>
      <c r="E397" t="s">
        <v>20</v>
      </c>
      <c r="F397" s="2" t="e">
        <f>VLOOKUP(Tabla3[[#This Row],[CONTABLE]],'SAPROV (2)'!L:M,2,FALSE)</f>
        <v>#N/A</v>
      </c>
      <c r="H397" t="s">
        <v>588</v>
      </c>
      <c r="I397" s="2" t="str">
        <f>VLOOKUP(Tabla3[[#This Row],[Deposito]],'SAPROV (2)'!D:E,2,FALSE)</f>
        <v>A01</v>
      </c>
      <c r="K397" s="23" t="s">
        <v>23</v>
      </c>
      <c r="L397" s="2" t="str">
        <f>VLOOKUP(Tabla3[[#This Row],[PROVEEDOR]],'SAPROV (2)'!A:B,2,FALSE)</f>
        <v>04</v>
      </c>
      <c r="M397" t="str">
        <f>VLOOKUP(Tabla3[[#This Row],[SERVICIO]],'SAPROV (2)'!I:J,2,FALSE)</f>
        <v>SERV0060</v>
      </c>
      <c r="N397" t="s">
        <v>611</v>
      </c>
      <c r="P397">
        <f>VLOOKUP(Tabla3[[#This Row],[FECHA]],TASA[],2,FALSE)</f>
        <v>330.38</v>
      </c>
      <c r="Q397" s="4">
        <f t="shared" si="49"/>
        <v>-0.15948301955324171</v>
      </c>
      <c r="R397" t="s">
        <v>1253</v>
      </c>
    </row>
    <row r="398" spans="1:18" x14ac:dyDescent="0.25">
      <c r="A398" s="33">
        <v>46035</v>
      </c>
      <c r="B398" s="1">
        <v>676221265004</v>
      </c>
      <c r="C398" s="2" t="s">
        <v>1251</v>
      </c>
      <c r="D398" s="34">
        <v>-1362.81</v>
      </c>
      <c r="E398" t="s">
        <v>20</v>
      </c>
      <c r="F398" s="2" t="e">
        <f>VLOOKUP(Tabla3[[#This Row],[CONTABLE]],'SAPROV (2)'!L:M,2,FALSE)</f>
        <v>#N/A</v>
      </c>
      <c r="H398" t="s">
        <v>588</v>
      </c>
      <c r="I398" s="2" t="str">
        <f>VLOOKUP(Tabla3[[#This Row],[Deposito]],'SAPROV (2)'!D:E,2,FALSE)</f>
        <v>A01</v>
      </c>
      <c r="K398" s="23" t="s">
        <v>23</v>
      </c>
      <c r="L398" s="23" t="str">
        <f>VLOOKUP(Tabla3[[#This Row],[PROVEEDOR]],'SAPROV (2)'!A:B,2,FALSE)</f>
        <v>04</v>
      </c>
      <c r="M398" t="str">
        <f>VLOOKUP(Tabla3[[#This Row],[SERVICIO]],'SAPROV (2)'!I:J,2,FALSE)</f>
        <v>SERV0060</v>
      </c>
      <c r="N398" t="s">
        <v>611</v>
      </c>
      <c r="P398">
        <f>VLOOKUP(Tabla3[[#This Row],[FECHA]],TASA[],2,FALSE)</f>
        <v>330.38</v>
      </c>
      <c r="Q398" s="4">
        <f t="shared" ref="Q398:Q399" si="50">D398/P398</f>
        <v>-4.1249772988679698</v>
      </c>
      <c r="R398" t="s">
        <v>1253</v>
      </c>
    </row>
    <row r="399" spans="1:18" x14ac:dyDescent="0.25">
      <c r="A399" s="33">
        <v>46035</v>
      </c>
      <c r="B399" s="1">
        <v>676221262001</v>
      </c>
      <c r="C399" s="2" t="s">
        <v>1251</v>
      </c>
      <c r="D399" s="34">
        <v>-309.73</v>
      </c>
      <c r="E399" t="s">
        <v>20</v>
      </c>
      <c r="F399" s="2" t="e">
        <f>VLOOKUP(Tabla3[[#This Row],[CONTABLE]],'SAPROV (2)'!L:M,2,FALSE)</f>
        <v>#N/A</v>
      </c>
      <c r="H399" t="s">
        <v>588</v>
      </c>
      <c r="I399" s="2" t="str">
        <f>VLOOKUP(Tabla3[[#This Row],[Deposito]],'SAPROV (2)'!D:E,2,FALSE)</f>
        <v>A01</v>
      </c>
      <c r="K399" s="23" t="s">
        <v>23</v>
      </c>
      <c r="L399" s="23" t="str">
        <f>VLOOKUP(Tabla3[[#This Row],[PROVEEDOR]],'SAPROV (2)'!A:B,2,FALSE)</f>
        <v>04</v>
      </c>
      <c r="M399" t="str">
        <f>VLOOKUP(Tabla3[[#This Row],[SERVICIO]],'SAPROV (2)'!I:J,2,FALSE)</f>
        <v>SERV0060</v>
      </c>
      <c r="N399" t="s">
        <v>611</v>
      </c>
      <c r="P399">
        <f>VLOOKUP(Tabla3[[#This Row],[FECHA]],TASA[],2,FALSE)</f>
        <v>330.38</v>
      </c>
      <c r="Q399" s="4">
        <f t="shared" si="50"/>
        <v>-0.93749621647799508</v>
      </c>
      <c r="R399" t="s">
        <v>1253</v>
      </c>
    </row>
    <row r="400" spans="1:18" x14ac:dyDescent="0.25">
      <c r="A400" s="33">
        <v>46035</v>
      </c>
      <c r="B400" s="1">
        <v>676221264003</v>
      </c>
      <c r="C400" s="2" t="s">
        <v>1251</v>
      </c>
      <c r="D400" s="34">
        <v>-649.59</v>
      </c>
      <c r="E400" t="s">
        <v>20</v>
      </c>
      <c r="F400" s="2" t="e">
        <f>VLOOKUP(Tabla3[[#This Row],[CONTABLE]],'SAPROV (2)'!L:M,2,FALSE)</f>
        <v>#N/A</v>
      </c>
      <c r="H400" t="s">
        <v>588</v>
      </c>
      <c r="I400" s="2" t="str">
        <f>VLOOKUP(Tabla3[[#This Row],[Deposito]],'SAPROV (2)'!D:E,2,FALSE)</f>
        <v>A01</v>
      </c>
      <c r="K400" s="23" t="s">
        <v>23</v>
      </c>
      <c r="L400" s="2" t="str">
        <f>VLOOKUP(Tabla3[[#This Row],[PROVEEDOR]],'SAPROV (2)'!A:B,2,FALSE)</f>
        <v>04</v>
      </c>
      <c r="M400" t="str">
        <f>VLOOKUP(Tabla3[[#This Row],[SERVICIO]],'SAPROV (2)'!I:J,2,FALSE)</f>
        <v>SERV0060</v>
      </c>
      <c r="N400" t="s">
        <v>611</v>
      </c>
      <c r="P400">
        <f>VLOOKUP(Tabla3[[#This Row],[FECHA]],TASA[],2,FALSE)</f>
        <v>330.38</v>
      </c>
      <c r="Q400" s="4">
        <f t="shared" ref="Q400:Q401" si="51">D400/P400</f>
        <v>-1.966190447363642</v>
      </c>
      <c r="R400" t="s">
        <v>1253</v>
      </c>
    </row>
    <row r="401" spans="1:18" x14ac:dyDescent="0.25">
      <c r="A401" s="33">
        <v>46035</v>
      </c>
      <c r="B401" s="1">
        <v>676221267006</v>
      </c>
      <c r="C401" s="2" t="s">
        <v>1251</v>
      </c>
      <c r="D401" s="34">
        <v>-574.86</v>
      </c>
      <c r="E401" t="s">
        <v>20</v>
      </c>
      <c r="F401" s="2" t="e">
        <f>VLOOKUP(Tabla3[[#This Row],[CONTABLE]],'SAPROV (2)'!L:M,2,FALSE)</f>
        <v>#N/A</v>
      </c>
      <c r="H401" t="s">
        <v>588</v>
      </c>
      <c r="I401" s="2" t="str">
        <f>VLOOKUP(Tabla3[[#This Row],[Deposito]],'SAPROV (2)'!D:E,2,FALSE)</f>
        <v>A01</v>
      </c>
      <c r="K401" s="23" t="s">
        <v>23</v>
      </c>
      <c r="L401" s="23" t="str">
        <f>VLOOKUP(Tabla3[[#This Row],[PROVEEDOR]],'SAPROV (2)'!A:B,2,FALSE)</f>
        <v>04</v>
      </c>
      <c r="M401" t="str">
        <f>VLOOKUP(Tabla3[[#This Row],[SERVICIO]],'SAPROV (2)'!I:J,2,FALSE)</f>
        <v>SERV0060</v>
      </c>
      <c r="N401" t="s">
        <v>611</v>
      </c>
      <c r="P401">
        <f>VLOOKUP(Tabla3[[#This Row],[FECHA]],TASA[],2,FALSE)</f>
        <v>330.38</v>
      </c>
      <c r="Q401" s="4">
        <f t="shared" si="51"/>
        <v>-1.7399963678188752</v>
      </c>
      <c r="R401" t="s">
        <v>1253</v>
      </c>
    </row>
    <row r="402" spans="1:18" x14ac:dyDescent="0.25">
      <c r="A402" s="33">
        <v>46035</v>
      </c>
      <c r="B402" s="1">
        <v>676221266005</v>
      </c>
      <c r="C402" s="2" t="s">
        <v>1251</v>
      </c>
      <c r="D402" s="34">
        <v>-1700.63</v>
      </c>
      <c r="E402" t="s">
        <v>20</v>
      </c>
      <c r="F402" s="2" t="e">
        <f>VLOOKUP(Tabla3[[#This Row],[CONTABLE]],'SAPROV (2)'!L:M,2,FALSE)</f>
        <v>#N/A</v>
      </c>
      <c r="H402" t="s">
        <v>588</v>
      </c>
      <c r="I402" s="2" t="str">
        <f>VLOOKUP(Tabla3[[#This Row],[Deposito]],'SAPROV (2)'!D:E,2,FALSE)</f>
        <v>A01</v>
      </c>
      <c r="K402" s="23" t="s">
        <v>23</v>
      </c>
      <c r="L402" s="23" t="str">
        <f>VLOOKUP(Tabla3[[#This Row],[PROVEEDOR]],'SAPROV (2)'!A:B,2,FALSE)</f>
        <v>04</v>
      </c>
      <c r="M402" t="str">
        <f>VLOOKUP(Tabla3[[#This Row],[SERVICIO]],'SAPROV (2)'!I:J,2,FALSE)</f>
        <v>SERV0060</v>
      </c>
      <c r="N402" t="s">
        <v>611</v>
      </c>
      <c r="P402">
        <f>VLOOKUP(Tabla3[[#This Row],[FECHA]],TASA[],2,FALSE)</f>
        <v>330.38</v>
      </c>
      <c r="Q402" s="4">
        <f t="shared" ref="Q402:Q409" si="52">D402/P402</f>
        <v>-5.147496821841516</v>
      </c>
      <c r="R402" t="s">
        <v>1253</v>
      </c>
    </row>
    <row r="403" spans="1:18" x14ac:dyDescent="0.25">
      <c r="A403" s="33">
        <v>46035</v>
      </c>
      <c r="B403" s="1">
        <v>676221268007</v>
      </c>
      <c r="C403" s="2" t="s">
        <v>1251</v>
      </c>
      <c r="D403" s="34">
        <v>-84.74</v>
      </c>
      <c r="E403" t="s">
        <v>20</v>
      </c>
      <c r="F403" s="2" t="e">
        <f>VLOOKUP(Tabla3[[#This Row],[CONTABLE]],'SAPROV (2)'!L:M,2,FALSE)</f>
        <v>#N/A</v>
      </c>
      <c r="H403" t="s">
        <v>588</v>
      </c>
      <c r="I403" s="2" t="str">
        <f>VLOOKUP(Tabla3[[#This Row],[Deposito]],'SAPROV (2)'!D:E,2,FALSE)</f>
        <v>A01</v>
      </c>
      <c r="K403" s="23" t="s">
        <v>23</v>
      </c>
      <c r="L403" s="2" t="str">
        <f>VLOOKUP(Tabla3[[#This Row],[PROVEEDOR]],'SAPROV (2)'!A:B,2,FALSE)</f>
        <v>04</v>
      </c>
      <c r="M403" t="str">
        <f>VLOOKUP(Tabla3[[#This Row],[SERVICIO]],'SAPROV (2)'!I:J,2,FALSE)</f>
        <v>SERV0060</v>
      </c>
      <c r="N403" t="s">
        <v>611</v>
      </c>
      <c r="P403">
        <f>VLOOKUP(Tabla3[[#This Row],[FECHA]],TASA[],2,FALSE)</f>
        <v>330.38</v>
      </c>
      <c r="Q403" s="4">
        <f t="shared" si="52"/>
        <v>-0.25649252376051818</v>
      </c>
      <c r="R403" t="s">
        <v>1253</v>
      </c>
    </row>
    <row r="404" spans="1:18" x14ac:dyDescent="0.25">
      <c r="A404" s="33">
        <v>46035</v>
      </c>
      <c r="B404" s="1">
        <v>676235529002</v>
      </c>
      <c r="C404" s="2" t="s">
        <v>1251</v>
      </c>
      <c r="D404" s="34">
        <v>-1886.18</v>
      </c>
      <c r="E404" t="s">
        <v>20</v>
      </c>
      <c r="F404" s="2" t="e">
        <f>VLOOKUP(Tabla3[[#This Row],[CONTABLE]],'SAPROV (2)'!L:M,2,FALSE)</f>
        <v>#N/A</v>
      </c>
      <c r="H404" t="s">
        <v>588</v>
      </c>
      <c r="I404" s="2" t="str">
        <f>VLOOKUP(Tabla3[[#This Row],[Deposito]],'SAPROV (2)'!D:E,2,FALSE)</f>
        <v>A01</v>
      </c>
      <c r="K404" s="23" t="s">
        <v>23</v>
      </c>
      <c r="L404" s="23" t="str">
        <f>VLOOKUP(Tabla3[[#This Row],[PROVEEDOR]],'SAPROV (2)'!A:B,2,FALSE)</f>
        <v>04</v>
      </c>
      <c r="M404" t="str">
        <f>VLOOKUP(Tabla3[[#This Row],[SERVICIO]],'SAPROV (2)'!I:J,2,FALSE)</f>
        <v>SERV0060</v>
      </c>
      <c r="N404" t="s">
        <v>611</v>
      </c>
      <c r="P404">
        <f>VLOOKUP(Tabla3[[#This Row],[FECHA]],TASA[],2,FALSE)</f>
        <v>330.38</v>
      </c>
      <c r="Q404" s="4">
        <f t="shared" si="52"/>
        <v>-5.7091228282583693</v>
      </c>
      <c r="R404" t="s">
        <v>1253</v>
      </c>
    </row>
    <row r="405" spans="1:18" x14ac:dyDescent="0.25">
      <c r="A405" s="33">
        <v>46035</v>
      </c>
      <c r="B405" s="1">
        <v>676235526001</v>
      </c>
      <c r="C405" s="2" t="s">
        <v>1251</v>
      </c>
      <c r="D405" s="34">
        <v>-309.73</v>
      </c>
      <c r="E405" t="s">
        <v>20</v>
      </c>
      <c r="F405" s="2" t="e">
        <f>VLOOKUP(Tabla3[[#This Row],[CONTABLE]],'SAPROV (2)'!L:M,2,FALSE)</f>
        <v>#N/A</v>
      </c>
      <c r="H405" t="s">
        <v>588</v>
      </c>
      <c r="I405" s="2" t="str">
        <f>VLOOKUP(Tabla3[[#This Row],[Deposito]],'SAPROV (2)'!D:E,2,FALSE)</f>
        <v>A01</v>
      </c>
      <c r="K405" s="23" t="s">
        <v>23</v>
      </c>
      <c r="L405" s="23" t="str">
        <f>VLOOKUP(Tabla3[[#This Row],[PROVEEDOR]],'SAPROV (2)'!A:B,2,FALSE)</f>
        <v>04</v>
      </c>
      <c r="M405" t="str">
        <f>VLOOKUP(Tabla3[[#This Row],[SERVICIO]],'SAPROV (2)'!I:J,2,FALSE)</f>
        <v>SERV0060</v>
      </c>
      <c r="N405" t="s">
        <v>611</v>
      </c>
      <c r="P405">
        <f>VLOOKUP(Tabla3[[#This Row],[FECHA]],TASA[],2,FALSE)</f>
        <v>330.38</v>
      </c>
      <c r="Q405" s="4">
        <f t="shared" si="52"/>
        <v>-0.93749621647799508</v>
      </c>
      <c r="R405" t="s">
        <v>1253</v>
      </c>
    </row>
    <row r="406" spans="1:18" x14ac:dyDescent="0.25">
      <c r="A406" s="33">
        <v>46035</v>
      </c>
      <c r="B406" s="1">
        <v>676248730001</v>
      </c>
      <c r="C406" s="2" t="s">
        <v>1251</v>
      </c>
      <c r="D406" s="34">
        <v>-10501.12</v>
      </c>
      <c r="E406" t="s">
        <v>20</v>
      </c>
      <c r="F406" s="2" t="e">
        <f>VLOOKUP(Tabla3[[#This Row],[CONTABLE]],'SAPROV (2)'!L:M,2,FALSE)</f>
        <v>#N/A</v>
      </c>
      <c r="H406" t="s">
        <v>588</v>
      </c>
      <c r="I406" s="2" t="str">
        <f>VLOOKUP(Tabla3[[#This Row],[Deposito]],'SAPROV (2)'!D:E,2,FALSE)</f>
        <v>A01</v>
      </c>
      <c r="K406" s="23" t="s">
        <v>23</v>
      </c>
      <c r="L406" s="2" t="str">
        <f>VLOOKUP(Tabla3[[#This Row],[PROVEEDOR]],'SAPROV (2)'!A:B,2,FALSE)</f>
        <v>04</v>
      </c>
      <c r="M406" t="str">
        <f>VLOOKUP(Tabla3[[#This Row],[SERVICIO]],'SAPROV (2)'!I:J,2,FALSE)</f>
        <v>SERV0060</v>
      </c>
      <c r="N406" t="s">
        <v>611</v>
      </c>
      <c r="P406">
        <f>VLOOKUP(Tabla3[[#This Row],[FECHA]],TASA[],2,FALSE)</f>
        <v>330.38</v>
      </c>
      <c r="Q406" s="4">
        <f t="shared" si="52"/>
        <v>-31.784974877413891</v>
      </c>
      <c r="R406" t="s">
        <v>1253</v>
      </c>
    </row>
    <row r="407" spans="1:18" x14ac:dyDescent="0.25">
      <c r="A407" s="33">
        <v>46035</v>
      </c>
      <c r="B407" s="1">
        <v>676263443001</v>
      </c>
      <c r="C407" s="2" t="s">
        <v>1251</v>
      </c>
      <c r="D407" s="34">
        <v>-55.13</v>
      </c>
      <c r="E407" t="s">
        <v>20</v>
      </c>
      <c r="F407" s="2" t="e">
        <f>VLOOKUP(Tabla3[[#This Row],[CONTABLE]],'SAPROV (2)'!L:M,2,FALSE)</f>
        <v>#N/A</v>
      </c>
      <c r="H407" t="s">
        <v>588</v>
      </c>
      <c r="I407" s="2" t="str">
        <f>VLOOKUP(Tabla3[[#This Row],[Deposito]],'SAPROV (2)'!D:E,2,FALSE)</f>
        <v>A01</v>
      </c>
      <c r="K407" s="23" t="s">
        <v>23</v>
      </c>
      <c r="L407" s="23" t="str">
        <f>VLOOKUP(Tabla3[[#This Row],[PROVEEDOR]],'SAPROV (2)'!A:B,2,FALSE)</f>
        <v>04</v>
      </c>
      <c r="M407" t="str">
        <f>VLOOKUP(Tabla3[[#This Row],[SERVICIO]],'SAPROV (2)'!I:J,2,FALSE)</f>
        <v>SERV0060</v>
      </c>
      <c r="N407" t="s">
        <v>611</v>
      </c>
      <c r="P407">
        <f>VLOOKUP(Tabla3[[#This Row],[FECHA]],TASA[],2,FALSE)</f>
        <v>330.38</v>
      </c>
      <c r="Q407" s="4">
        <f t="shared" si="52"/>
        <v>-0.16686845450693141</v>
      </c>
      <c r="R407" t="s">
        <v>1253</v>
      </c>
    </row>
    <row r="408" spans="1:18" x14ac:dyDescent="0.25">
      <c r="A408" s="33">
        <v>46035</v>
      </c>
      <c r="B408" s="1">
        <v>676263445003</v>
      </c>
      <c r="C408" s="2" t="s">
        <v>1251</v>
      </c>
      <c r="D408" s="34">
        <v>-70.61</v>
      </c>
      <c r="E408" t="s">
        <v>20</v>
      </c>
      <c r="F408" s="2" t="e">
        <f>VLOOKUP(Tabla3[[#This Row],[CONTABLE]],'SAPROV (2)'!L:M,2,FALSE)</f>
        <v>#N/A</v>
      </c>
      <c r="H408" t="s">
        <v>588</v>
      </c>
      <c r="I408" s="2" t="str">
        <f>VLOOKUP(Tabla3[[#This Row],[Deposito]],'SAPROV (2)'!D:E,2,FALSE)</f>
        <v>A01</v>
      </c>
      <c r="K408" s="23" t="s">
        <v>23</v>
      </c>
      <c r="L408" s="23" t="str">
        <f>VLOOKUP(Tabla3[[#This Row],[PROVEEDOR]],'SAPROV (2)'!A:B,2,FALSE)</f>
        <v>04</v>
      </c>
      <c r="M408" t="str">
        <f>VLOOKUP(Tabla3[[#This Row],[SERVICIO]],'SAPROV (2)'!I:J,2,FALSE)</f>
        <v>SERV0060</v>
      </c>
      <c r="N408" t="s">
        <v>611</v>
      </c>
      <c r="P408">
        <f>VLOOKUP(Tabla3[[#This Row],[FECHA]],TASA[],2,FALSE)</f>
        <v>330.38</v>
      </c>
      <c r="Q408" s="4">
        <f t="shared" si="52"/>
        <v>-0.21372359101640534</v>
      </c>
      <c r="R408" t="s">
        <v>1253</v>
      </c>
    </row>
    <row r="409" spans="1:18" x14ac:dyDescent="0.25">
      <c r="A409" s="33">
        <v>46035</v>
      </c>
      <c r="B409" s="1">
        <v>676263447005</v>
      </c>
      <c r="C409" s="2" t="s">
        <v>1251</v>
      </c>
      <c r="D409" s="34">
        <v>-235.39</v>
      </c>
      <c r="E409" t="s">
        <v>20</v>
      </c>
      <c r="F409" s="2" t="e">
        <f>VLOOKUP(Tabla3[[#This Row],[CONTABLE]],'SAPROV (2)'!L:M,2,FALSE)</f>
        <v>#N/A</v>
      </c>
      <c r="H409" t="s">
        <v>588</v>
      </c>
      <c r="I409" s="2" t="str">
        <f>VLOOKUP(Tabla3[[#This Row],[Deposito]],'SAPROV (2)'!D:E,2,FALSE)</f>
        <v>A01</v>
      </c>
      <c r="K409" s="23" t="s">
        <v>23</v>
      </c>
      <c r="L409" s="2" t="str">
        <f>VLOOKUP(Tabla3[[#This Row],[PROVEEDOR]],'SAPROV (2)'!A:B,2,FALSE)</f>
        <v>04</v>
      </c>
      <c r="M409" t="str">
        <f>VLOOKUP(Tabla3[[#This Row],[SERVICIO]],'SAPROV (2)'!I:J,2,FALSE)</f>
        <v>SERV0060</v>
      </c>
      <c r="N409" t="s">
        <v>611</v>
      </c>
      <c r="P409">
        <f>VLOOKUP(Tabla3[[#This Row],[FECHA]],TASA[],2,FALSE)</f>
        <v>330.38</v>
      </c>
      <c r="Q409" s="4">
        <f t="shared" si="52"/>
        <v>-0.71248259579877715</v>
      </c>
      <c r="R409" t="s">
        <v>1253</v>
      </c>
    </row>
    <row r="410" spans="1:18" x14ac:dyDescent="0.25">
      <c r="A410" s="33">
        <v>46035</v>
      </c>
      <c r="B410" s="1">
        <v>676263446004</v>
      </c>
      <c r="C410" s="2" t="s">
        <v>1251</v>
      </c>
      <c r="D410" s="34">
        <v>-235.39</v>
      </c>
      <c r="E410" t="s">
        <v>20</v>
      </c>
      <c r="F410" s="2" t="e">
        <f>VLOOKUP(Tabla3[[#This Row],[CONTABLE]],'SAPROV (2)'!L:M,2,FALSE)</f>
        <v>#N/A</v>
      </c>
      <c r="H410" t="s">
        <v>588</v>
      </c>
      <c r="I410" s="2" t="str">
        <f>VLOOKUP(Tabla3[[#This Row],[Deposito]],'SAPROV (2)'!D:E,2,FALSE)</f>
        <v>A01</v>
      </c>
      <c r="K410" s="23" t="s">
        <v>23</v>
      </c>
      <c r="L410" s="23" t="str">
        <f>VLOOKUP(Tabla3[[#This Row],[PROVEEDOR]],'SAPROV (2)'!A:B,2,FALSE)</f>
        <v>04</v>
      </c>
      <c r="M410" t="str">
        <f>VLOOKUP(Tabla3[[#This Row],[SERVICIO]],'SAPROV (2)'!I:J,2,FALSE)</f>
        <v>SERV0060</v>
      </c>
      <c r="N410" t="s">
        <v>611</v>
      </c>
      <c r="P410">
        <f>VLOOKUP(Tabla3[[#This Row],[FECHA]],TASA[],2,FALSE)</f>
        <v>330.38</v>
      </c>
      <c r="Q410" s="4">
        <f t="shared" ref="Q410:Q411" si="53">D410/P410</f>
        <v>-0.71248259579877715</v>
      </c>
      <c r="R410" t="s">
        <v>1253</v>
      </c>
    </row>
    <row r="411" spans="1:18" x14ac:dyDescent="0.25">
      <c r="A411" s="33">
        <v>46035</v>
      </c>
      <c r="B411" s="1">
        <v>676263444002</v>
      </c>
      <c r="C411" s="2" t="s">
        <v>1251</v>
      </c>
      <c r="D411" s="34">
        <v>-463.72</v>
      </c>
      <c r="E411" t="s">
        <v>20</v>
      </c>
      <c r="F411" s="2" t="e">
        <f>VLOOKUP(Tabla3[[#This Row],[CONTABLE]],'SAPROV (2)'!L:M,2,FALSE)</f>
        <v>#N/A</v>
      </c>
      <c r="H411" t="s">
        <v>588</v>
      </c>
      <c r="I411" s="2" t="str">
        <f>VLOOKUP(Tabla3[[#This Row],[Deposito]],'SAPROV (2)'!D:E,2,FALSE)</f>
        <v>A01</v>
      </c>
      <c r="K411" s="23" t="s">
        <v>23</v>
      </c>
      <c r="L411" s="23" t="str">
        <f>VLOOKUP(Tabla3[[#This Row],[PROVEEDOR]],'SAPROV (2)'!A:B,2,FALSE)</f>
        <v>04</v>
      </c>
      <c r="M411" t="str">
        <f>VLOOKUP(Tabla3[[#This Row],[SERVICIO]],'SAPROV (2)'!I:J,2,FALSE)</f>
        <v>SERV0060</v>
      </c>
      <c r="N411" t="s">
        <v>611</v>
      </c>
      <c r="P411">
        <f>VLOOKUP(Tabla3[[#This Row],[FECHA]],TASA[],2,FALSE)</f>
        <v>330.38</v>
      </c>
      <c r="Q411" s="4">
        <f t="shared" si="53"/>
        <v>-1.4035958593135178</v>
      </c>
      <c r="R411" t="s">
        <v>1253</v>
      </c>
    </row>
    <row r="412" spans="1:18" x14ac:dyDescent="0.25">
      <c r="A412" s="33">
        <v>46037</v>
      </c>
      <c r="B412" s="1">
        <v>676257509004</v>
      </c>
      <c r="C412" s="2" t="s">
        <v>1251</v>
      </c>
      <c r="D412" s="34">
        <v>-174</v>
      </c>
      <c r="E412" t="s">
        <v>20</v>
      </c>
      <c r="F412" s="2" t="e">
        <f>VLOOKUP(Tabla3[[#This Row],[CONTABLE]],'SAPROV (2)'!L:M,2,FALSE)</f>
        <v>#N/A</v>
      </c>
      <c r="H412" t="s">
        <v>588</v>
      </c>
      <c r="I412" s="2" t="str">
        <f>VLOOKUP(Tabla3[[#This Row],[Deposito]],'SAPROV (2)'!D:E,2,FALSE)</f>
        <v>A01</v>
      </c>
      <c r="K412" s="23" t="s">
        <v>23</v>
      </c>
      <c r="L412" s="2" t="str">
        <f>VLOOKUP(Tabla3[[#This Row],[PROVEEDOR]],'SAPROV (2)'!A:B,2,FALSE)</f>
        <v>04</v>
      </c>
      <c r="M412" t="str">
        <f>VLOOKUP(Tabla3[[#This Row],[SERVICIO]],'SAPROV (2)'!I:J,2,FALSE)</f>
        <v>SERV0060</v>
      </c>
      <c r="N412" t="s">
        <v>611</v>
      </c>
      <c r="P412">
        <f>VLOOKUP(Tabla3[[#This Row],[FECHA]],TASA[],2,FALSE)</f>
        <v>339.15</v>
      </c>
      <c r="Q412" s="4">
        <f t="shared" ref="Q412:Q420" si="54">D412/P412</f>
        <v>-0.51304732419283505</v>
      </c>
      <c r="R412" t="s">
        <v>1253</v>
      </c>
    </row>
    <row r="413" spans="1:18" x14ac:dyDescent="0.25">
      <c r="A413" s="33">
        <v>46037</v>
      </c>
      <c r="B413" s="1">
        <v>676257526017</v>
      </c>
      <c r="C413" s="2" t="s">
        <v>1251</v>
      </c>
      <c r="D413" s="34">
        <v>-152.22999999999999</v>
      </c>
      <c r="E413" t="s">
        <v>20</v>
      </c>
      <c r="F413" s="2" t="e">
        <f>VLOOKUP(Tabla3[[#This Row],[CONTABLE]],'SAPROV (2)'!L:M,2,FALSE)</f>
        <v>#N/A</v>
      </c>
      <c r="H413" t="s">
        <v>588</v>
      </c>
      <c r="I413" s="2" t="str">
        <f>VLOOKUP(Tabla3[[#This Row],[Deposito]],'SAPROV (2)'!D:E,2,FALSE)</f>
        <v>A01</v>
      </c>
      <c r="K413" s="23" t="s">
        <v>23</v>
      </c>
      <c r="L413" s="23" t="str">
        <f>VLOOKUP(Tabla3[[#This Row],[PROVEEDOR]],'SAPROV (2)'!A:B,2,FALSE)</f>
        <v>04</v>
      </c>
      <c r="M413" t="str">
        <f>VLOOKUP(Tabla3[[#This Row],[SERVICIO]],'SAPROV (2)'!I:J,2,FALSE)</f>
        <v>SERV0060</v>
      </c>
      <c r="N413" t="s">
        <v>611</v>
      </c>
      <c r="P413">
        <f>VLOOKUP(Tabla3[[#This Row],[FECHA]],TASA[],2,FALSE)</f>
        <v>339.15</v>
      </c>
      <c r="Q413" s="4">
        <f t="shared" si="54"/>
        <v>-0.44885743771192688</v>
      </c>
      <c r="R413" t="s">
        <v>1253</v>
      </c>
    </row>
    <row r="414" spans="1:18" x14ac:dyDescent="0.25">
      <c r="A414" s="33">
        <v>46037</v>
      </c>
      <c r="B414" s="1">
        <v>676257527003</v>
      </c>
      <c r="C414" s="2" t="s">
        <v>1251</v>
      </c>
      <c r="D414" s="34">
        <v>-188.06</v>
      </c>
      <c r="E414" t="s">
        <v>20</v>
      </c>
      <c r="F414" s="2" t="e">
        <f>VLOOKUP(Tabla3[[#This Row],[CONTABLE]],'SAPROV (2)'!L:M,2,FALSE)</f>
        <v>#N/A</v>
      </c>
      <c r="H414" t="s">
        <v>588</v>
      </c>
      <c r="I414" s="2" t="str">
        <f>VLOOKUP(Tabla3[[#This Row],[Deposito]],'SAPROV (2)'!D:E,2,FALSE)</f>
        <v>A01</v>
      </c>
      <c r="K414" s="23" t="s">
        <v>23</v>
      </c>
      <c r="L414" s="23" t="str">
        <f>VLOOKUP(Tabla3[[#This Row],[PROVEEDOR]],'SAPROV (2)'!A:B,2,FALSE)</f>
        <v>04</v>
      </c>
      <c r="M414" t="str">
        <f>VLOOKUP(Tabla3[[#This Row],[SERVICIO]],'SAPROV (2)'!I:J,2,FALSE)</f>
        <v>SERV0060</v>
      </c>
      <c r="N414" t="s">
        <v>611</v>
      </c>
      <c r="P414">
        <f>VLOOKUP(Tabla3[[#This Row],[FECHA]],TASA[],2,FALSE)</f>
        <v>339.15</v>
      </c>
      <c r="Q414" s="4">
        <f t="shared" si="54"/>
        <v>-0.55450390682588835</v>
      </c>
      <c r="R414" t="s">
        <v>1253</v>
      </c>
    </row>
    <row r="415" spans="1:18" x14ac:dyDescent="0.25">
      <c r="A415" s="33">
        <v>46037</v>
      </c>
      <c r="B415" s="1">
        <v>676257520015</v>
      </c>
      <c r="C415" s="2" t="s">
        <v>1251</v>
      </c>
      <c r="D415" s="34">
        <v>-267.89999999999998</v>
      </c>
      <c r="E415" t="s">
        <v>20</v>
      </c>
      <c r="F415" s="2" t="e">
        <f>VLOOKUP(Tabla3[[#This Row],[CONTABLE]],'SAPROV (2)'!L:M,2,FALSE)</f>
        <v>#N/A</v>
      </c>
      <c r="H415" t="s">
        <v>588</v>
      </c>
      <c r="I415" s="2" t="str">
        <f>VLOOKUP(Tabla3[[#This Row],[Deposito]],'SAPROV (2)'!D:E,2,FALSE)</f>
        <v>A01</v>
      </c>
      <c r="K415" s="23" t="s">
        <v>23</v>
      </c>
      <c r="L415" s="2" t="str">
        <f>VLOOKUP(Tabla3[[#This Row],[PROVEEDOR]],'SAPROV (2)'!A:B,2,FALSE)</f>
        <v>04</v>
      </c>
      <c r="M415" t="str">
        <f>VLOOKUP(Tabla3[[#This Row],[SERVICIO]],'SAPROV (2)'!I:J,2,FALSE)</f>
        <v>SERV0060</v>
      </c>
      <c r="N415" t="s">
        <v>611</v>
      </c>
      <c r="P415">
        <f>VLOOKUP(Tabla3[[#This Row],[FECHA]],TASA[],2,FALSE)</f>
        <v>339.15</v>
      </c>
      <c r="Q415" s="4">
        <f t="shared" si="54"/>
        <v>-0.78991596638655459</v>
      </c>
      <c r="R415" t="s">
        <v>1253</v>
      </c>
    </row>
    <row r="416" spans="1:18" x14ac:dyDescent="0.25">
      <c r="A416" s="33">
        <v>46037</v>
      </c>
      <c r="B416" s="1">
        <v>676257510005</v>
      </c>
      <c r="C416" s="2" t="s">
        <v>1251</v>
      </c>
      <c r="D416" s="34">
        <v>-30.27</v>
      </c>
      <c r="E416" t="s">
        <v>20</v>
      </c>
      <c r="F416" s="2" t="e">
        <f>VLOOKUP(Tabla3[[#This Row],[CONTABLE]],'SAPROV (2)'!L:M,2,FALSE)</f>
        <v>#N/A</v>
      </c>
      <c r="H416" t="s">
        <v>588</v>
      </c>
      <c r="I416" s="2" t="str">
        <f>VLOOKUP(Tabla3[[#This Row],[Deposito]],'SAPROV (2)'!D:E,2,FALSE)</f>
        <v>A01</v>
      </c>
      <c r="K416" s="23" t="s">
        <v>23</v>
      </c>
      <c r="L416" s="23" t="str">
        <f>VLOOKUP(Tabla3[[#This Row],[PROVEEDOR]],'SAPROV (2)'!A:B,2,FALSE)</f>
        <v>04</v>
      </c>
      <c r="M416" t="str">
        <f>VLOOKUP(Tabla3[[#This Row],[SERVICIO]],'SAPROV (2)'!I:J,2,FALSE)</f>
        <v>SERV0060</v>
      </c>
      <c r="N416" t="s">
        <v>611</v>
      </c>
      <c r="P416">
        <f>VLOOKUP(Tabla3[[#This Row],[FECHA]],TASA[],2,FALSE)</f>
        <v>339.15</v>
      </c>
      <c r="Q416" s="4">
        <f t="shared" si="54"/>
        <v>-8.9252543122512171E-2</v>
      </c>
      <c r="R416" t="s">
        <v>1253</v>
      </c>
    </row>
    <row r="417" spans="1:18" x14ac:dyDescent="0.25">
      <c r="A417" s="33">
        <v>46037</v>
      </c>
      <c r="B417" s="1">
        <v>676257513008</v>
      </c>
      <c r="C417" s="2" t="s">
        <v>1251</v>
      </c>
      <c r="D417" s="34">
        <v>-172.45</v>
      </c>
      <c r="E417" t="s">
        <v>20</v>
      </c>
      <c r="F417" s="2" t="e">
        <f>VLOOKUP(Tabla3[[#This Row],[CONTABLE]],'SAPROV (2)'!L:M,2,FALSE)</f>
        <v>#N/A</v>
      </c>
      <c r="H417" t="s">
        <v>588</v>
      </c>
      <c r="I417" s="2" t="str">
        <f>VLOOKUP(Tabla3[[#This Row],[Deposito]],'SAPROV (2)'!D:E,2,FALSE)</f>
        <v>A01</v>
      </c>
      <c r="K417" s="23" t="s">
        <v>23</v>
      </c>
      <c r="L417" s="23" t="str">
        <f>VLOOKUP(Tabla3[[#This Row],[PROVEEDOR]],'SAPROV (2)'!A:B,2,FALSE)</f>
        <v>04</v>
      </c>
      <c r="M417" t="str">
        <f>VLOOKUP(Tabla3[[#This Row],[SERVICIO]],'SAPROV (2)'!I:J,2,FALSE)</f>
        <v>SERV0060</v>
      </c>
      <c r="N417" t="s">
        <v>611</v>
      </c>
      <c r="P417">
        <f>VLOOKUP(Tabla3[[#This Row],[FECHA]],TASA[],2,FALSE)</f>
        <v>339.15</v>
      </c>
      <c r="Q417" s="4">
        <f t="shared" si="54"/>
        <v>-0.50847707504054251</v>
      </c>
      <c r="R417" t="s">
        <v>1253</v>
      </c>
    </row>
    <row r="418" spans="1:18" x14ac:dyDescent="0.25">
      <c r="A418" s="33">
        <v>46037</v>
      </c>
      <c r="B418" s="1">
        <v>676257518013</v>
      </c>
      <c r="C418" s="2" t="s">
        <v>1251</v>
      </c>
      <c r="D418" s="34">
        <v>-12.6</v>
      </c>
      <c r="E418" t="s">
        <v>20</v>
      </c>
      <c r="F418" s="2" t="e">
        <f>VLOOKUP(Tabla3[[#This Row],[CONTABLE]],'SAPROV (2)'!L:M,2,FALSE)</f>
        <v>#N/A</v>
      </c>
      <c r="H418" t="s">
        <v>588</v>
      </c>
      <c r="I418" s="2" t="str">
        <f>VLOOKUP(Tabla3[[#This Row],[Deposito]],'SAPROV (2)'!D:E,2,FALSE)</f>
        <v>A01</v>
      </c>
      <c r="K418" s="23" t="s">
        <v>23</v>
      </c>
      <c r="L418" s="2" t="str">
        <f>VLOOKUP(Tabla3[[#This Row],[PROVEEDOR]],'SAPROV (2)'!A:B,2,FALSE)</f>
        <v>04</v>
      </c>
      <c r="M418" t="str">
        <f>VLOOKUP(Tabla3[[#This Row],[SERVICIO]],'SAPROV (2)'!I:J,2,FALSE)</f>
        <v>SERV0060</v>
      </c>
      <c r="N418" t="s">
        <v>611</v>
      </c>
      <c r="P418">
        <f>VLOOKUP(Tabla3[[#This Row],[FECHA]],TASA[],2,FALSE)</f>
        <v>339.15</v>
      </c>
      <c r="Q418" s="4">
        <f t="shared" si="54"/>
        <v>-3.7151702786377708E-2</v>
      </c>
      <c r="R418" t="s">
        <v>1253</v>
      </c>
    </row>
    <row r="419" spans="1:18" x14ac:dyDescent="0.25">
      <c r="A419" s="33">
        <v>46037</v>
      </c>
      <c r="B419" s="1">
        <v>676257515009</v>
      </c>
      <c r="C419" s="2" t="s">
        <v>1251</v>
      </c>
      <c r="D419" s="34">
        <v>-47.94</v>
      </c>
      <c r="E419" t="s">
        <v>20</v>
      </c>
      <c r="F419" s="2" t="e">
        <f>VLOOKUP(Tabla3[[#This Row],[CONTABLE]],'SAPROV (2)'!L:M,2,FALSE)</f>
        <v>#N/A</v>
      </c>
      <c r="H419" t="s">
        <v>588</v>
      </c>
      <c r="I419" s="2" t="str">
        <f>VLOOKUP(Tabla3[[#This Row],[Deposito]],'SAPROV (2)'!D:E,2,FALSE)</f>
        <v>A01</v>
      </c>
      <c r="K419" s="23" t="s">
        <v>23</v>
      </c>
      <c r="L419" s="23" t="str">
        <f>VLOOKUP(Tabla3[[#This Row],[PROVEEDOR]],'SAPROV (2)'!A:B,2,FALSE)</f>
        <v>04</v>
      </c>
      <c r="M419" t="str">
        <f>VLOOKUP(Tabla3[[#This Row],[SERVICIO]],'SAPROV (2)'!I:J,2,FALSE)</f>
        <v>SERV0060</v>
      </c>
      <c r="N419" t="s">
        <v>611</v>
      </c>
      <c r="P419">
        <f>VLOOKUP(Tabla3[[#This Row],[FECHA]],TASA[],2,FALSE)</f>
        <v>339.15</v>
      </c>
      <c r="Q419" s="4">
        <f t="shared" si="54"/>
        <v>-0.14135338345864662</v>
      </c>
      <c r="R419" t="s">
        <v>1253</v>
      </c>
    </row>
    <row r="420" spans="1:18" x14ac:dyDescent="0.25">
      <c r="A420" s="33">
        <v>46037</v>
      </c>
      <c r="B420" s="1">
        <v>676257525017</v>
      </c>
      <c r="C420" s="2" t="s">
        <v>1251</v>
      </c>
      <c r="D420" s="34">
        <v>-211.96</v>
      </c>
      <c r="E420" t="s">
        <v>20</v>
      </c>
      <c r="F420" s="2" t="e">
        <f>VLOOKUP(Tabla3[[#This Row],[CONTABLE]],'SAPROV (2)'!L:M,2,FALSE)</f>
        <v>#N/A</v>
      </c>
      <c r="H420" t="s">
        <v>588</v>
      </c>
      <c r="I420" s="2" t="str">
        <f>VLOOKUP(Tabla3[[#This Row],[Deposito]],'SAPROV (2)'!D:E,2,FALSE)</f>
        <v>A01</v>
      </c>
      <c r="K420" s="23" t="s">
        <v>23</v>
      </c>
      <c r="L420" s="23" t="str">
        <f>VLOOKUP(Tabla3[[#This Row],[PROVEEDOR]],'SAPROV (2)'!A:B,2,FALSE)</f>
        <v>04</v>
      </c>
      <c r="M420" t="str">
        <f>VLOOKUP(Tabla3[[#This Row],[SERVICIO]],'SAPROV (2)'!I:J,2,FALSE)</f>
        <v>SERV0060</v>
      </c>
      <c r="N420" t="s">
        <v>611</v>
      </c>
      <c r="P420">
        <f>VLOOKUP(Tabla3[[#This Row],[FECHA]],TASA[],2,FALSE)</f>
        <v>339.15</v>
      </c>
      <c r="Q420" s="4">
        <f t="shared" si="54"/>
        <v>-0.62497420020639838</v>
      </c>
      <c r="R420" t="s">
        <v>1253</v>
      </c>
    </row>
    <row r="421" spans="1:18" x14ac:dyDescent="0.25">
      <c r="A421" s="33">
        <v>46037</v>
      </c>
      <c r="B421" s="1">
        <v>676257517012</v>
      </c>
      <c r="C421" s="2" t="s">
        <v>1251</v>
      </c>
      <c r="D421" s="34">
        <v>-83.52</v>
      </c>
      <c r="E421" t="s">
        <v>20</v>
      </c>
      <c r="F421" s="2" t="e">
        <f>VLOOKUP(Tabla3[[#This Row],[CONTABLE]],'SAPROV (2)'!L:M,2,FALSE)</f>
        <v>#N/A</v>
      </c>
      <c r="H421" t="s">
        <v>588</v>
      </c>
      <c r="I421" s="2" t="str">
        <f>VLOOKUP(Tabla3[[#This Row],[Deposito]],'SAPROV (2)'!D:E,2,FALSE)</f>
        <v>A01</v>
      </c>
      <c r="K421" s="23" t="s">
        <v>23</v>
      </c>
      <c r="L421" s="2" t="str">
        <f>VLOOKUP(Tabla3[[#This Row],[PROVEEDOR]],'SAPROV (2)'!A:B,2,FALSE)</f>
        <v>04</v>
      </c>
      <c r="M421" t="str">
        <f>VLOOKUP(Tabla3[[#This Row],[SERVICIO]],'SAPROV (2)'!I:J,2,FALSE)</f>
        <v>SERV0060</v>
      </c>
      <c r="N421" t="s">
        <v>611</v>
      </c>
      <c r="P421">
        <f>VLOOKUP(Tabla3[[#This Row],[FECHA]],TASA[],2,FALSE)</f>
        <v>339.15</v>
      </c>
      <c r="Q421" s="4">
        <f t="shared" ref="Q421:Q422" si="55">D421/P421</f>
        <v>-0.24626271561256083</v>
      </c>
      <c r="R421" t="s">
        <v>1253</v>
      </c>
    </row>
    <row r="422" spans="1:18" x14ac:dyDescent="0.25">
      <c r="A422" s="33">
        <v>46037</v>
      </c>
      <c r="B422" s="1">
        <v>676257506001</v>
      </c>
      <c r="C422" s="2" t="s">
        <v>1251</v>
      </c>
      <c r="D422" s="34">
        <v>-425</v>
      </c>
      <c r="E422" t="s">
        <v>20</v>
      </c>
      <c r="F422" s="2" t="e">
        <f>VLOOKUP(Tabla3[[#This Row],[CONTABLE]],'SAPROV (2)'!L:M,2,FALSE)</f>
        <v>#N/A</v>
      </c>
      <c r="H422" t="s">
        <v>588</v>
      </c>
      <c r="I422" s="2" t="str">
        <f>VLOOKUP(Tabla3[[#This Row],[Deposito]],'SAPROV (2)'!D:E,2,FALSE)</f>
        <v>A01</v>
      </c>
      <c r="K422" s="23" t="s">
        <v>23</v>
      </c>
      <c r="L422" s="23" t="str">
        <f>VLOOKUP(Tabla3[[#This Row],[PROVEEDOR]],'SAPROV (2)'!A:B,2,FALSE)</f>
        <v>04</v>
      </c>
      <c r="M422" t="str">
        <f>VLOOKUP(Tabla3[[#This Row],[SERVICIO]],'SAPROV (2)'!I:J,2,FALSE)</f>
        <v>SERV0060</v>
      </c>
      <c r="N422" t="s">
        <v>611</v>
      </c>
      <c r="P422">
        <f>VLOOKUP(Tabla3[[#This Row],[FECHA]],TASA[],2,FALSE)</f>
        <v>339.15</v>
      </c>
      <c r="Q422" s="4">
        <f t="shared" si="55"/>
        <v>-1.2531328320802007</v>
      </c>
      <c r="R422" t="s">
        <v>1253</v>
      </c>
    </row>
    <row r="423" spans="1:18" x14ac:dyDescent="0.25">
      <c r="A423" s="33">
        <v>46037</v>
      </c>
      <c r="B423" s="1">
        <v>676257514009</v>
      </c>
      <c r="C423" s="2" t="s">
        <v>1251</v>
      </c>
      <c r="D423" s="34">
        <v>-533.14</v>
      </c>
      <c r="E423" t="s">
        <v>20</v>
      </c>
      <c r="F423" s="2" t="e">
        <f>VLOOKUP(Tabla3[[#This Row],[CONTABLE]],'SAPROV (2)'!L:M,2,FALSE)</f>
        <v>#N/A</v>
      </c>
      <c r="H423" t="s">
        <v>588</v>
      </c>
      <c r="I423" s="2" t="str">
        <f>VLOOKUP(Tabla3[[#This Row],[Deposito]],'SAPROV (2)'!D:E,2,FALSE)</f>
        <v>A01</v>
      </c>
      <c r="K423" s="23" t="s">
        <v>23</v>
      </c>
      <c r="L423" s="23" t="str">
        <f>VLOOKUP(Tabla3[[#This Row],[PROVEEDOR]],'SAPROV (2)'!A:B,2,FALSE)</f>
        <v>04</v>
      </c>
      <c r="M423" t="str">
        <f>VLOOKUP(Tabla3[[#This Row],[SERVICIO]],'SAPROV (2)'!I:J,2,FALSE)</f>
        <v>SERV0060</v>
      </c>
      <c r="N423" t="s">
        <v>611</v>
      </c>
      <c r="P423">
        <f>VLOOKUP(Tabla3[[#This Row],[FECHA]],TASA[],2,FALSE)</f>
        <v>339.15</v>
      </c>
      <c r="Q423" s="4">
        <f>D423/P423</f>
        <v>-1.5719887955182072</v>
      </c>
      <c r="R423" t="s">
        <v>1253</v>
      </c>
    </row>
    <row r="424" spans="1:18" x14ac:dyDescent="0.25">
      <c r="A424" s="33">
        <v>46037</v>
      </c>
      <c r="B424" s="1">
        <v>676257519014</v>
      </c>
      <c r="C424" s="2" t="s">
        <v>1251</v>
      </c>
      <c r="D424" s="34">
        <v>-6.4</v>
      </c>
      <c r="E424" t="s">
        <v>20</v>
      </c>
      <c r="F424" s="2" t="e">
        <f>VLOOKUP(Tabla3[[#This Row],[CONTABLE]],'SAPROV (2)'!L:M,2,FALSE)</f>
        <v>#N/A</v>
      </c>
      <c r="H424" t="s">
        <v>588</v>
      </c>
      <c r="I424" s="2" t="str">
        <f>VLOOKUP(Tabla3[[#This Row],[Deposito]],'SAPROV (2)'!D:E,2,FALSE)</f>
        <v>A01</v>
      </c>
      <c r="K424" s="23" t="s">
        <v>23</v>
      </c>
      <c r="L424" s="2" t="str">
        <f>VLOOKUP(Tabla3[[#This Row],[PROVEEDOR]],'SAPROV (2)'!A:B,2,FALSE)</f>
        <v>04</v>
      </c>
      <c r="M424" t="str">
        <f>VLOOKUP(Tabla3[[#This Row],[SERVICIO]],'SAPROV (2)'!I:J,2,FALSE)</f>
        <v>SERV0060</v>
      </c>
      <c r="N424" t="s">
        <v>611</v>
      </c>
      <c r="P424">
        <f>VLOOKUP(Tabla3[[#This Row],[FECHA]],TASA[],2,FALSE)</f>
        <v>339.15</v>
      </c>
      <c r="Q424" s="4">
        <f t="shared" ref="Q424:Q425" si="56">D424/P424</f>
        <v>-1.8870706177207729E-2</v>
      </c>
      <c r="R424" t="s">
        <v>1253</v>
      </c>
    </row>
    <row r="425" spans="1:18" x14ac:dyDescent="0.25">
      <c r="A425" s="33">
        <v>46037</v>
      </c>
      <c r="B425" s="1">
        <v>676257511006</v>
      </c>
      <c r="C425" s="2" t="s">
        <v>1251</v>
      </c>
      <c r="D425" s="34">
        <v>-222.99</v>
      </c>
      <c r="E425" t="s">
        <v>20</v>
      </c>
      <c r="F425" s="2" t="e">
        <f>VLOOKUP(Tabla3[[#This Row],[CONTABLE]],'SAPROV (2)'!L:M,2,FALSE)</f>
        <v>#N/A</v>
      </c>
      <c r="H425" t="s">
        <v>588</v>
      </c>
      <c r="I425" s="2" t="str">
        <f>VLOOKUP(Tabla3[[#This Row],[Deposito]],'SAPROV (2)'!D:E,2,FALSE)</f>
        <v>A01</v>
      </c>
      <c r="K425" s="23" t="s">
        <v>23</v>
      </c>
      <c r="L425" s="23" t="str">
        <f>VLOOKUP(Tabla3[[#This Row],[PROVEEDOR]],'SAPROV (2)'!A:B,2,FALSE)</f>
        <v>04</v>
      </c>
      <c r="M425" t="str">
        <f>VLOOKUP(Tabla3[[#This Row],[SERVICIO]],'SAPROV (2)'!I:J,2,FALSE)</f>
        <v>SERV0060</v>
      </c>
      <c r="N425" t="s">
        <v>611</v>
      </c>
      <c r="P425">
        <f>VLOOKUP(Tabla3[[#This Row],[FECHA]],TASA[],2,FALSE)</f>
        <v>339.15</v>
      </c>
      <c r="Q425" s="4">
        <f t="shared" si="56"/>
        <v>-0.65749668288367991</v>
      </c>
      <c r="R425" t="s">
        <v>1253</v>
      </c>
    </row>
    <row r="426" spans="1:18" x14ac:dyDescent="0.25">
      <c r="A426" s="33">
        <v>46037</v>
      </c>
      <c r="B426" s="1">
        <v>676257507002</v>
      </c>
      <c r="C426" s="2" t="s">
        <v>1251</v>
      </c>
      <c r="D426" s="34">
        <v>-1699.84</v>
      </c>
      <c r="E426" t="s">
        <v>20</v>
      </c>
      <c r="F426" s="2" t="e">
        <f>VLOOKUP(Tabla3[[#This Row],[CONTABLE]],'SAPROV (2)'!L:M,2,FALSE)</f>
        <v>#N/A</v>
      </c>
      <c r="H426" t="s">
        <v>588</v>
      </c>
      <c r="I426" s="2" t="str">
        <f>VLOOKUP(Tabla3[[#This Row],[Deposito]],'SAPROV (2)'!D:E,2,FALSE)</f>
        <v>A01</v>
      </c>
      <c r="K426" s="23" t="s">
        <v>23</v>
      </c>
      <c r="L426" s="23" t="str">
        <f>VLOOKUP(Tabla3[[#This Row],[PROVEEDOR]],'SAPROV (2)'!A:B,2,FALSE)</f>
        <v>04</v>
      </c>
      <c r="M426" t="str">
        <f>VLOOKUP(Tabla3[[#This Row],[SERVICIO]],'SAPROV (2)'!I:J,2,FALSE)</f>
        <v>SERV0060</v>
      </c>
      <c r="N426" t="s">
        <v>611</v>
      </c>
      <c r="P426">
        <f>VLOOKUP(Tabla3[[#This Row],[FECHA]],TASA[],2,FALSE)</f>
        <v>339.15</v>
      </c>
      <c r="Q426" s="4">
        <f t="shared" ref="Q426:Q434" si="57">D426/P426</f>
        <v>-5.0120595606663718</v>
      </c>
      <c r="R426" t="s">
        <v>1253</v>
      </c>
    </row>
    <row r="427" spans="1:18" x14ac:dyDescent="0.25">
      <c r="A427" s="33">
        <v>46037</v>
      </c>
      <c r="B427" s="1">
        <v>676257522017</v>
      </c>
      <c r="C427" s="2" t="s">
        <v>1251</v>
      </c>
      <c r="D427" s="34">
        <v>-118.02</v>
      </c>
      <c r="E427" t="s">
        <v>20</v>
      </c>
      <c r="F427" s="2" t="e">
        <f>VLOOKUP(Tabla3[[#This Row],[CONTABLE]],'SAPROV (2)'!L:M,2,FALSE)</f>
        <v>#N/A</v>
      </c>
      <c r="H427" t="s">
        <v>588</v>
      </c>
      <c r="I427" s="2" t="str">
        <f>VLOOKUP(Tabla3[[#This Row],[Deposito]],'SAPROV (2)'!D:E,2,FALSE)</f>
        <v>A01</v>
      </c>
      <c r="K427" s="23" t="s">
        <v>23</v>
      </c>
      <c r="L427" s="2" t="str">
        <f>VLOOKUP(Tabla3[[#This Row],[PROVEEDOR]],'SAPROV (2)'!A:B,2,FALSE)</f>
        <v>04</v>
      </c>
      <c r="M427" t="str">
        <f>VLOOKUP(Tabla3[[#This Row],[SERVICIO]],'SAPROV (2)'!I:J,2,FALSE)</f>
        <v>SERV0060</v>
      </c>
      <c r="N427" t="s">
        <v>611</v>
      </c>
      <c r="P427">
        <f>VLOOKUP(Tabla3[[#This Row],[FECHA]],TASA[],2,FALSE)</f>
        <v>339.15</v>
      </c>
      <c r="Q427" s="4">
        <f t="shared" si="57"/>
        <v>-0.3479876160990712</v>
      </c>
      <c r="R427" t="s">
        <v>1253</v>
      </c>
    </row>
    <row r="428" spans="1:18" x14ac:dyDescent="0.25">
      <c r="A428" s="33">
        <v>46037</v>
      </c>
      <c r="B428" s="1">
        <v>676257523017</v>
      </c>
      <c r="C428" s="2" t="s">
        <v>1251</v>
      </c>
      <c r="D428" s="34">
        <v>-57.99</v>
      </c>
      <c r="E428" t="s">
        <v>20</v>
      </c>
      <c r="F428" s="2" t="e">
        <f>VLOOKUP(Tabla3[[#This Row],[CONTABLE]],'SAPROV (2)'!L:M,2,FALSE)</f>
        <v>#N/A</v>
      </c>
      <c r="H428" t="s">
        <v>588</v>
      </c>
      <c r="I428" s="2" t="str">
        <f>VLOOKUP(Tabla3[[#This Row],[Deposito]],'SAPROV (2)'!D:E,2,FALSE)</f>
        <v>A01</v>
      </c>
      <c r="K428" s="23" t="s">
        <v>23</v>
      </c>
      <c r="L428" s="23" t="str">
        <f>VLOOKUP(Tabla3[[#This Row],[PROVEEDOR]],'SAPROV (2)'!A:B,2,FALSE)</f>
        <v>04</v>
      </c>
      <c r="M428" t="str">
        <f>VLOOKUP(Tabla3[[#This Row],[SERVICIO]],'SAPROV (2)'!I:J,2,FALSE)</f>
        <v>SERV0060</v>
      </c>
      <c r="N428" t="s">
        <v>611</v>
      </c>
      <c r="P428">
        <f>VLOOKUP(Tabla3[[#This Row],[FECHA]],TASA[],2,FALSE)</f>
        <v>339.15</v>
      </c>
      <c r="Q428" s="4">
        <f t="shared" si="57"/>
        <v>-0.17098628925254314</v>
      </c>
      <c r="R428" t="s">
        <v>1253</v>
      </c>
    </row>
    <row r="429" spans="1:18" x14ac:dyDescent="0.25">
      <c r="A429" s="33">
        <v>46037</v>
      </c>
      <c r="B429" s="1">
        <v>676257508003</v>
      </c>
      <c r="C429" s="2" t="s">
        <v>1251</v>
      </c>
      <c r="D429" s="34">
        <v>-813.43</v>
      </c>
      <c r="E429" t="s">
        <v>20</v>
      </c>
      <c r="F429" s="2" t="e">
        <f>VLOOKUP(Tabla3[[#This Row],[CONTABLE]],'SAPROV (2)'!L:M,2,FALSE)</f>
        <v>#N/A</v>
      </c>
      <c r="H429" t="s">
        <v>588</v>
      </c>
      <c r="I429" s="2" t="str">
        <f>VLOOKUP(Tabla3[[#This Row],[Deposito]],'SAPROV (2)'!D:E,2,FALSE)</f>
        <v>A01</v>
      </c>
      <c r="K429" s="23" t="s">
        <v>23</v>
      </c>
      <c r="L429" s="23" t="str">
        <f>VLOOKUP(Tabla3[[#This Row],[PROVEEDOR]],'SAPROV (2)'!A:B,2,FALSE)</f>
        <v>04</v>
      </c>
      <c r="M429" t="str">
        <f>VLOOKUP(Tabla3[[#This Row],[SERVICIO]],'SAPROV (2)'!I:J,2,FALSE)</f>
        <v>SERV0060</v>
      </c>
      <c r="N429" t="s">
        <v>611</v>
      </c>
      <c r="P429">
        <f>VLOOKUP(Tabla3[[#This Row],[FECHA]],TASA[],2,FALSE)</f>
        <v>339.15</v>
      </c>
      <c r="Q429" s="4">
        <f t="shared" si="57"/>
        <v>-2.3984372696446998</v>
      </c>
      <c r="R429" t="s">
        <v>1253</v>
      </c>
    </row>
    <row r="430" spans="1:18" x14ac:dyDescent="0.25">
      <c r="A430" s="33">
        <v>46037</v>
      </c>
      <c r="B430" s="1">
        <v>676257524017</v>
      </c>
      <c r="C430" s="2" t="s">
        <v>1251</v>
      </c>
      <c r="D430" s="34">
        <v>-362.46</v>
      </c>
      <c r="E430" t="s">
        <v>20</v>
      </c>
      <c r="F430" s="2" t="e">
        <f>VLOOKUP(Tabla3[[#This Row],[CONTABLE]],'SAPROV (2)'!L:M,2,FALSE)</f>
        <v>#N/A</v>
      </c>
      <c r="H430" t="s">
        <v>588</v>
      </c>
      <c r="I430" s="2" t="str">
        <f>VLOOKUP(Tabla3[[#This Row],[Deposito]],'SAPROV (2)'!D:E,2,FALSE)</f>
        <v>A01</v>
      </c>
      <c r="K430" s="23" t="s">
        <v>23</v>
      </c>
      <c r="L430" s="2" t="str">
        <f>VLOOKUP(Tabla3[[#This Row],[PROVEEDOR]],'SAPROV (2)'!A:B,2,FALSE)</f>
        <v>04</v>
      </c>
      <c r="M430" t="str">
        <f>VLOOKUP(Tabla3[[#This Row],[SERVICIO]],'SAPROV (2)'!I:J,2,FALSE)</f>
        <v>SERV0060</v>
      </c>
      <c r="N430" t="s">
        <v>611</v>
      </c>
      <c r="P430">
        <f>VLOOKUP(Tabla3[[#This Row],[FECHA]],TASA[],2,FALSE)</f>
        <v>339.15</v>
      </c>
      <c r="Q430" s="4">
        <f t="shared" si="57"/>
        <v>-1.0687306501547988</v>
      </c>
      <c r="R430" t="s">
        <v>1253</v>
      </c>
    </row>
    <row r="431" spans="1:18" x14ac:dyDescent="0.25">
      <c r="A431" s="33">
        <v>46037</v>
      </c>
      <c r="B431" s="1">
        <v>676257512007</v>
      </c>
      <c r="C431" s="2" t="s">
        <v>1251</v>
      </c>
      <c r="D431" s="34">
        <v>-253.51</v>
      </c>
      <c r="E431" t="s">
        <v>20</v>
      </c>
      <c r="F431" s="2" t="e">
        <f>VLOOKUP(Tabla3[[#This Row],[CONTABLE]],'SAPROV (2)'!L:M,2,FALSE)</f>
        <v>#N/A</v>
      </c>
      <c r="H431" t="s">
        <v>588</v>
      </c>
      <c r="I431" s="2" t="str">
        <f>VLOOKUP(Tabla3[[#This Row],[Deposito]],'SAPROV (2)'!D:E,2,FALSE)</f>
        <v>A01</v>
      </c>
      <c r="K431" s="23" t="s">
        <v>23</v>
      </c>
      <c r="L431" s="23" t="str">
        <f>VLOOKUP(Tabla3[[#This Row],[PROVEEDOR]],'SAPROV (2)'!A:B,2,FALSE)</f>
        <v>04</v>
      </c>
      <c r="M431" t="str">
        <f>VLOOKUP(Tabla3[[#This Row],[SERVICIO]],'SAPROV (2)'!I:J,2,FALSE)</f>
        <v>SERV0060</v>
      </c>
      <c r="N431" t="s">
        <v>611</v>
      </c>
      <c r="P431">
        <f>VLOOKUP(Tabla3[[#This Row],[FECHA]],TASA[],2,FALSE)</f>
        <v>339.15</v>
      </c>
      <c r="Q431" s="4">
        <f t="shared" si="57"/>
        <v>-0.74748636296623916</v>
      </c>
      <c r="R431" t="s">
        <v>1253</v>
      </c>
    </row>
    <row r="432" spans="1:18" x14ac:dyDescent="0.25">
      <c r="A432" s="33">
        <v>46037</v>
      </c>
      <c r="B432" s="1">
        <v>676257521016</v>
      </c>
      <c r="C432" s="2" t="s">
        <v>1251</v>
      </c>
      <c r="D432" s="34">
        <v>-13.63</v>
      </c>
      <c r="E432" t="s">
        <v>20</v>
      </c>
      <c r="F432" s="2" t="e">
        <f>VLOOKUP(Tabla3[[#This Row],[CONTABLE]],'SAPROV (2)'!L:M,2,FALSE)</f>
        <v>#N/A</v>
      </c>
      <c r="H432" t="s">
        <v>588</v>
      </c>
      <c r="I432" s="2" t="str">
        <f>VLOOKUP(Tabla3[[#This Row],[Deposito]],'SAPROV (2)'!D:E,2,FALSE)</f>
        <v>A01</v>
      </c>
      <c r="K432" s="23" t="s">
        <v>23</v>
      </c>
      <c r="L432" s="23" t="str">
        <f>VLOOKUP(Tabla3[[#This Row],[PROVEEDOR]],'SAPROV (2)'!A:B,2,FALSE)</f>
        <v>04</v>
      </c>
      <c r="M432" t="str">
        <f>VLOOKUP(Tabla3[[#This Row],[SERVICIO]],'SAPROV (2)'!I:J,2,FALSE)</f>
        <v>SERV0060</v>
      </c>
      <c r="N432" t="s">
        <v>611</v>
      </c>
      <c r="P432">
        <f>VLOOKUP(Tabla3[[#This Row],[FECHA]],TASA[],2,FALSE)</f>
        <v>339.15</v>
      </c>
      <c r="Q432" s="4">
        <f t="shared" si="57"/>
        <v>-4.0188707061772085E-2</v>
      </c>
      <c r="R432" t="s">
        <v>1253</v>
      </c>
    </row>
    <row r="433" spans="1:18" x14ac:dyDescent="0.25">
      <c r="A433" s="33">
        <v>46037</v>
      </c>
      <c r="B433" s="1">
        <v>676257516009</v>
      </c>
      <c r="C433" s="2" t="s">
        <v>1251</v>
      </c>
      <c r="D433" s="34">
        <v>-220.63</v>
      </c>
      <c r="E433" t="s">
        <v>20</v>
      </c>
      <c r="F433" s="2" t="e">
        <f>VLOOKUP(Tabla3[[#This Row],[CONTABLE]],'SAPROV (2)'!L:M,2,FALSE)</f>
        <v>#N/A</v>
      </c>
      <c r="H433" t="s">
        <v>588</v>
      </c>
      <c r="I433" s="2" t="str">
        <f>VLOOKUP(Tabla3[[#This Row],[Deposito]],'SAPROV (2)'!D:E,2,FALSE)</f>
        <v>A01</v>
      </c>
      <c r="K433" s="23" t="s">
        <v>23</v>
      </c>
      <c r="L433" s="2" t="str">
        <f>VLOOKUP(Tabla3[[#This Row],[PROVEEDOR]],'SAPROV (2)'!A:B,2,FALSE)</f>
        <v>04</v>
      </c>
      <c r="M433" t="str">
        <f>VLOOKUP(Tabla3[[#This Row],[SERVICIO]],'SAPROV (2)'!I:J,2,FALSE)</f>
        <v>SERV0060</v>
      </c>
      <c r="N433" t="s">
        <v>611</v>
      </c>
      <c r="P433">
        <f>VLOOKUP(Tabla3[[#This Row],[FECHA]],TASA[],2,FALSE)</f>
        <v>339.15</v>
      </c>
      <c r="Q433" s="4">
        <f t="shared" si="57"/>
        <v>-0.6505381099808345</v>
      </c>
      <c r="R433" t="s">
        <v>1253</v>
      </c>
    </row>
    <row r="434" spans="1:18" x14ac:dyDescent="0.25">
      <c r="A434" s="33">
        <v>46037</v>
      </c>
      <c r="B434" s="1">
        <v>676211692001</v>
      </c>
      <c r="C434" s="2" t="s">
        <v>1251</v>
      </c>
      <c r="D434" s="34">
        <v>-12055.93</v>
      </c>
      <c r="E434" t="s">
        <v>20</v>
      </c>
      <c r="F434" s="2" t="e">
        <f>VLOOKUP(Tabla3[[#This Row],[CONTABLE]],'SAPROV (2)'!L:M,2,FALSE)</f>
        <v>#N/A</v>
      </c>
      <c r="H434" t="s">
        <v>588</v>
      </c>
      <c r="I434" s="2" t="str">
        <f>VLOOKUP(Tabla3[[#This Row],[Deposito]],'SAPROV (2)'!D:E,2,FALSE)</f>
        <v>A01</v>
      </c>
      <c r="K434" s="23" t="s">
        <v>23</v>
      </c>
      <c r="L434" s="23" t="str">
        <f>VLOOKUP(Tabla3[[#This Row],[PROVEEDOR]],'SAPROV (2)'!A:B,2,FALSE)</f>
        <v>04</v>
      </c>
      <c r="M434" t="str">
        <f>VLOOKUP(Tabla3[[#This Row],[SERVICIO]],'SAPROV (2)'!I:J,2,FALSE)</f>
        <v>SERV0060</v>
      </c>
      <c r="N434" t="s">
        <v>611</v>
      </c>
      <c r="P434">
        <f>VLOOKUP(Tabla3[[#This Row],[FECHA]],TASA[],2,FALSE)</f>
        <v>339.15</v>
      </c>
      <c r="Q434" s="4">
        <f t="shared" si="57"/>
        <v>-35.547486362966239</v>
      </c>
      <c r="R434" t="s">
        <v>1253</v>
      </c>
    </row>
    <row r="435" spans="1:18" x14ac:dyDescent="0.25">
      <c r="A435" s="33">
        <v>46037</v>
      </c>
      <c r="B435" s="1">
        <v>676211694003</v>
      </c>
      <c r="C435" s="2" t="s">
        <v>1251</v>
      </c>
      <c r="D435" s="34">
        <v>-250.12</v>
      </c>
      <c r="E435" t="s">
        <v>20</v>
      </c>
      <c r="F435" s="2" t="e">
        <f>VLOOKUP(Tabla3[[#This Row],[CONTABLE]],'SAPROV (2)'!L:M,2,FALSE)</f>
        <v>#N/A</v>
      </c>
      <c r="H435" t="s">
        <v>588</v>
      </c>
      <c r="I435" s="2" t="str">
        <f>VLOOKUP(Tabla3[[#This Row],[Deposito]],'SAPROV (2)'!D:E,2,FALSE)</f>
        <v>A01</v>
      </c>
      <c r="K435" s="23" t="s">
        <v>23</v>
      </c>
      <c r="L435" s="23" t="str">
        <f>VLOOKUP(Tabla3[[#This Row],[PROVEEDOR]],'SAPROV (2)'!A:B,2,FALSE)</f>
        <v>04</v>
      </c>
      <c r="M435" t="str">
        <f>VLOOKUP(Tabla3[[#This Row],[SERVICIO]],'SAPROV (2)'!I:J,2,FALSE)</f>
        <v>SERV0060</v>
      </c>
      <c r="N435" t="s">
        <v>611</v>
      </c>
      <c r="P435">
        <f>VLOOKUP(Tabla3[[#This Row],[FECHA]],TASA[],2,FALSE)</f>
        <v>339.15</v>
      </c>
      <c r="Q435" s="4">
        <f t="shared" ref="Q435:Q436" si="58">D435/P435</f>
        <v>-0.73749078578799943</v>
      </c>
      <c r="R435" t="s">
        <v>1253</v>
      </c>
    </row>
    <row r="436" spans="1:18" x14ac:dyDescent="0.25">
      <c r="A436" s="33">
        <v>46037</v>
      </c>
      <c r="B436" s="1">
        <v>676211693002</v>
      </c>
      <c r="C436" s="2" t="s">
        <v>1251</v>
      </c>
      <c r="D436" s="34">
        <v>-77.319999999999993</v>
      </c>
      <c r="E436" t="s">
        <v>20</v>
      </c>
      <c r="F436" s="2" t="e">
        <f>VLOOKUP(Tabla3[[#This Row],[CONTABLE]],'SAPROV (2)'!L:M,2,FALSE)</f>
        <v>#N/A</v>
      </c>
      <c r="H436" t="s">
        <v>588</v>
      </c>
      <c r="I436" s="2" t="str">
        <f>VLOOKUP(Tabla3[[#This Row],[Deposito]],'SAPROV (2)'!D:E,2,FALSE)</f>
        <v>A01</v>
      </c>
      <c r="K436" s="23" t="s">
        <v>23</v>
      </c>
      <c r="L436" s="2" t="str">
        <f>VLOOKUP(Tabla3[[#This Row],[PROVEEDOR]],'SAPROV (2)'!A:B,2,FALSE)</f>
        <v>04</v>
      </c>
      <c r="M436" t="str">
        <f>VLOOKUP(Tabla3[[#This Row],[SERVICIO]],'SAPROV (2)'!I:J,2,FALSE)</f>
        <v>SERV0060</v>
      </c>
      <c r="N436" t="s">
        <v>611</v>
      </c>
      <c r="P436">
        <f>VLOOKUP(Tabla3[[#This Row],[FECHA]],TASA[],2,FALSE)</f>
        <v>339.15</v>
      </c>
      <c r="Q436" s="4">
        <f t="shared" si="58"/>
        <v>-0.22798171900339081</v>
      </c>
      <c r="R436" t="s">
        <v>1253</v>
      </c>
    </row>
    <row r="437" spans="1:18" x14ac:dyDescent="0.25">
      <c r="A437" s="33">
        <v>46037</v>
      </c>
      <c r="B437" s="1">
        <v>676239548001</v>
      </c>
      <c r="C437" s="2" t="s">
        <v>1251</v>
      </c>
      <c r="D437" s="34">
        <v>-2500</v>
      </c>
      <c r="E437" t="s">
        <v>20</v>
      </c>
      <c r="F437" s="2" t="e">
        <f>VLOOKUP(Tabla3[[#This Row],[CONTABLE]],'SAPROV (2)'!L:M,2,FALSE)</f>
        <v>#N/A</v>
      </c>
      <c r="H437" t="s">
        <v>588</v>
      </c>
      <c r="I437" s="2" t="str">
        <f>VLOOKUP(Tabla3[[#This Row],[Deposito]],'SAPROV (2)'!D:E,2,FALSE)</f>
        <v>A01</v>
      </c>
      <c r="K437" s="23" t="s">
        <v>23</v>
      </c>
      <c r="L437" s="23" t="str">
        <f>VLOOKUP(Tabla3[[#This Row],[PROVEEDOR]],'SAPROV (2)'!A:B,2,FALSE)</f>
        <v>04</v>
      </c>
      <c r="M437" t="str">
        <f>VLOOKUP(Tabla3[[#This Row],[SERVICIO]],'SAPROV (2)'!I:J,2,FALSE)</f>
        <v>SERV0060</v>
      </c>
      <c r="N437" t="s">
        <v>611</v>
      </c>
      <c r="P437">
        <f>VLOOKUP(Tabla3[[#This Row],[FECHA]],TASA[],2,FALSE)</f>
        <v>339.15</v>
      </c>
      <c r="Q437" s="4">
        <f t="shared" ref="Q437:Q451" si="59">D437/P437</f>
        <v>-7.3713696004717679</v>
      </c>
      <c r="R437" t="s">
        <v>1253</v>
      </c>
    </row>
    <row r="438" spans="1:18" x14ac:dyDescent="0.25">
      <c r="A438" s="33">
        <v>46037</v>
      </c>
      <c r="B438" s="1">
        <v>676239551001</v>
      </c>
      <c r="C438" s="2" t="s">
        <v>1251</v>
      </c>
      <c r="D438" s="34">
        <v>-2500</v>
      </c>
      <c r="E438" t="s">
        <v>20</v>
      </c>
      <c r="F438" s="2" t="e">
        <f>VLOOKUP(Tabla3[[#This Row],[CONTABLE]],'SAPROV (2)'!L:M,2,FALSE)</f>
        <v>#N/A</v>
      </c>
      <c r="H438" t="s">
        <v>588</v>
      </c>
      <c r="I438" s="2" t="str">
        <f>VLOOKUP(Tabla3[[#This Row],[Deposito]],'SAPROV (2)'!D:E,2,FALSE)</f>
        <v>A01</v>
      </c>
      <c r="K438" s="23" t="s">
        <v>23</v>
      </c>
      <c r="L438" s="23" t="str">
        <f>VLOOKUP(Tabla3[[#This Row],[PROVEEDOR]],'SAPROV (2)'!A:B,2,FALSE)</f>
        <v>04</v>
      </c>
      <c r="M438" t="str">
        <f>VLOOKUP(Tabla3[[#This Row],[SERVICIO]],'SAPROV (2)'!I:J,2,FALSE)</f>
        <v>SERV0060</v>
      </c>
      <c r="N438" t="s">
        <v>611</v>
      </c>
      <c r="P438">
        <f>VLOOKUP(Tabla3[[#This Row],[FECHA]],TASA[],2,FALSE)</f>
        <v>339.15</v>
      </c>
      <c r="Q438" s="4">
        <f t="shared" si="59"/>
        <v>-7.3713696004717679</v>
      </c>
      <c r="R438" t="s">
        <v>1253</v>
      </c>
    </row>
    <row r="439" spans="1:18" x14ac:dyDescent="0.25">
      <c r="A439" s="33">
        <v>46037</v>
      </c>
      <c r="B439" s="1">
        <v>676239552001</v>
      </c>
      <c r="C439" s="2" t="s">
        <v>1251</v>
      </c>
      <c r="D439" s="34">
        <v>-2500</v>
      </c>
      <c r="E439" t="s">
        <v>20</v>
      </c>
      <c r="F439" s="2" t="e">
        <f>VLOOKUP(Tabla3[[#This Row],[CONTABLE]],'SAPROV (2)'!L:M,2,FALSE)</f>
        <v>#N/A</v>
      </c>
      <c r="H439" t="s">
        <v>588</v>
      </c>
      <c r="I439" s="2" t="str">
        <f>VLOOKUP(Tabla3[[#This Row],[Deposito]],'SAPROV (2)'!D:E,2,FALSE)</f>
        <v>A01</v>
      </c>
      <c r="K439" s="23" t="s">
        <v>23</v>
      </c>
      <c r="L439" s="2" t="str">
        <f>VLOOKUP(Tabla3[[#This Row],[PROVEEDOR]],'SAPROV (2)'!A:B,2,FALSE)</f>
        <v>04</v>
      </c>
      <c r="M439" t="str">
        <f>VLOOKUP(Tabla3[[#This Row],[SERVICIO]],'SAPROV (2)'!I:J,2,FALSE)</f>
        <v>SERV0060</v>
      </c>
      <c r="N439" t="s">
        <v>611</v>
      </c>
      <c r="P439">
        <f>VLOOKUP(Tabla3[[#This Row],[FECHA]],TASA[],2,FALSE)</f>
        <v>339.15</v>
      </c>
      <c r="Q439" s="4">
        <f t="shared" si="59"/>
        <v>-7.3713696004717679</v>
      </c>
      <c r="R439" t="s">
        <v>1253</v>
      </c>
    </row>
    <row r="440" spans="1:18" x14ac:dyDescent="0.25">
      <c r="A440" s="33">
        <v>46037</v>
      </c>
      <c r="B440" s="1">
        <v>676239555001</v>
      </c>
      <c r="C440" s="2" t="s">
        <v>1251</v>
      </c>
      <c r="D440" s="34">
        <v>-2500</v>
      </c>
      <c r="E440" t="s">
        <v>20</v>
      </c>
      <c r="F440" s="2" t="e">
        <f>VLOOKUP(Tabla3[[#This Row],[CONTABLE]],'SAPROV (2)'!L:M,2,FALSE)</f>
        <v>#N/A</v>
      </c>
      <c r="H440" t="s">
        <v>588</v>
      </c>
      <c r="I440" s="2" t="str">
        <f>VLOOKUP(Tabla3[[#This Row],[Deposito]],'SAPROV (2)'!D:E,2,FALSE)</f>
        <v>A01</v>
      </c>
      <c r="K440" s="23" t="s">
        <v>23</v>
      </c>
      <c r="L440" s="23" t="str">
        <f>VLOOKUP(Tabla3[[#This Row],[PROVEEDOR]],'SAPROV (2)'!A:B,2,FALSE)</f>
        <v>04</v>
      </c>
      <c r="M440" t="str">
        <f>VLOOKUP(Tabla3[[#This Row],[SERVICIO]],'SAPROV (2)'!I:J,2,FALSE)</f>
        <v>SERV0060</v>
      </c>
      <c r="N440" t="s">
        <v>611</v>
      </c>
      <c r="P440">
        <f>VLOOKUP(Tabla3[[#This Row],[FECHA]],TASA[],2,FALSE)</f>
        <v>339.15</v>
      </c>
      <c r="Q440" s="4">
        <f t="shared" si="59"/>
        <v>-7.3713696004717679</v>
      </c>
      <c r="R440" t="s">
        <v>1253</v>
      </c>
    </row>
    <row r="441" spans="1:18" x14ac:dyDescent="0.25">
      <c r="A441" s="33">
        <v>46037</v>
      </c>
      <c r="B441" s="1">
        <v>676239550001</v>
      </c>
      <c r="C441" s="2" t="s">
        <v>1251</v>
      </c>
      <c r="D441" s="34">
        <v>-2500</v>
      </c>
      <c r="E441" t="s">
        <v>20</v>
      </c>
      <c r="F441" s="2" t="e">
        <f>VLOOKUP(Tabla3[[#This Row],[CONTABLE]],'SAPROV (2)'!L:M,2,FALSE)</f>
        <v>#N/A</v>
      </c>
      <c r="H441" t="s">
        <v>588</v>
      </c>
      <c r="I441" s="2" t="str">
        <f>VLOOKUP(Tabla3[[#This Row],[Deposito]],'SAPROV (2)'!D:E,2,FALSE)</f>
        <v>A01</v>
      </c>
      <c r="K441" s="23" t="s">
        <v>23</v>
      </c>
      <c r="L441" s="23" t="str">
        <f>VLOOKUP(Tabla3[[#This Row],[PROVEEDOR]],'SAPROV (2)'!A:B,2,FALSE)</f>
        <v>04</v>
      </c>
      <c r="M441" t="str">
        <f>VLOOKUP(Tabla3[[#This Row],[SERVICIO]],'SAPROV (2)'!I:J,2,FALSE)</f>
        <v>SERV0060</v>
      </c>
      <c r="N441" t="s">
        <v>611</v>
      </c>
      <c r="P441">
        <f>VLOOKUP(Tabla3[[#This Row],[FECHA]],TASA[],2,FALSE)</f>
        <v>339.15</v>
      </c>
      <c r="Q441" s="4">
        <f t="shared" si="59"/>
        <v>-7.3713696004717679</v>
      </c>
      <c r="R441" t="s">
        <v>1253</v>
      </c>
    </row>
    <row r="442" spans="1:18" x14ac:dyDescent="0.25">
      <c r="A442" s="33">
        <v>46037</v>
      </c>
      <c r="B442" s="1">
        <v>676239554001</v>
      </c>
      <c r="C442" s="2" t="s">
        <v>1251</v>
      </c>
      <c r="D442" s="34">
        <v>-2500</v>
      </c>
      <c r="E442" t="s">
        <v>20</v>
      </c>
      <c r="F442" s="2" t="e">
        <f>VLOOKUP(Tabla3[[#This Row],[CONTABLE]],'SAPROV (2)'!L:M,2,FALSE)</f>
        <v>#N/A</v>
      </c>
      <c r="H442" t="s">
        <v>588</v>
      </c>
      <c r="I442" s="2" t="str">
        <f>VLOOKUP(Tabla3[[#This Row],[Deposito]],'SAPROV (2)'!D:E,2,FALSE)</f>
        <v>A01</v>
      </c>
      <c r="K442" s="23" t="s">
        <v>23</v>
      </c>
      <c r="L442" s="2" t="str">
        <f>VLOOKUP(Tabla3[[#This Row],[PROVEEDOR]],'SAPROV (2)'!A:B,2,FALSE)</f>
        <v>04</v>
      </c>
      <c r="M442" t="str">
        <f>VLOOKUP(Tabla3[[#This Row],[SERVICIO]],'SAPROV (2)'!I:J,2,FALSE)</f>
        <v>SERV0060</v>
      </c>
      <c r="N442" t="s">
        <v>611</v>
      </c>
      <c r="P442">
        <f>VLOOKUP(Tabla3[[#This Row],[FECHA]],TASA[],2,FALSE)</f>
        <v>339.15</v>
      </c>
      <c r="Q442" s="4">
        <f t="shared" si="59"/>
        <v>-7.3713696004717679</v>
      </c>
      <c r="R442" t="s">
        <v>1253</v>
      </c>
    </row>
    <row r="443" spans="1:18" x14ac:dyDescent="0.25">
      <c r="A443" s="33">
        <v>46037</v>
      </c>
      <c r="B443" s="1">
        <v>676239549001</v>
      </c>
      <c r="C443" s="2" t="s">
        <v>1251</v>
      </c>
      <c r="D443" s="34">
        <v>-2500</v>
      </c>
      <c r="E443" t="s">
        <v>20</v>
      </c>
      <c r="F443" s="2" t="e">
        <f>VLOOKUP(Tabla3[[#This Row],[CONTABLE]],'SAPROV (2)'!L:M,2,FALSE)</f>
        <v>#N/A</v>
      </c>
      <c r="H443" t="s">
        <v>588</v>
      </c>
      <c r="I443" s="2" t="str">
        <f>VLOOKUP(Tabla3[[#This Row],[Deposito]],'SAPROV (2)'!D:E,2,FALSE)</f>
        <v>A01</v>
      </c>
      <c r="K443" s="23" t="s">
        <v>23</v>
      </c>
      <c r="L443" s="23" t="str">
        <f>VLOOKUP(Tabla3[[#This Row],[PROVEEDOR]],'SAPROV (2)'!A:B,2,FALSE)</f>
        <v>04</v>
      </c>
      <c r="M443" t="str">
        <f>VLOOKUP(Tabla3[[#This Row],[SERVICIO]],'SAPROV (2)'!I:J,2,FALSE)</f>
        <v>SERV0060</v>
      </c>
      <c r="N443" t="s">
        <v>611</v>
      </c>
      <c r="P443">
        <f>VLOOKUP(Tabla3[[#This Row],[FECHA]],TASA[],2,FALSE)</f>
        <v>339.15</v>
      </c>
      <c r="Q443" s="4">
        <f t="shared" si="59"/>
        <v>-7.3713696004717679</v>
      </c>
      <c r="R443" t="s">
        <v>1253</v>
      </c>
    </row>
    <row r="444" spans="1:18" x14ac:dyDescent="0.25">
      <c r="A444" s="33">
        <v>46037</v>
      </c>
      <c r="B444" s="1">
        <v>676239553001</v>
      </c>
      <c r="C444" s="2" t="s">
        <v>1251</v>
      </c>
      <c r="D444" s="34">
        <v>-2500</v>
      </c>
      <c r="E444" t="s">
        <v>20</v>
      </c>
      <c r="F444" s="2" t="e">
        <f>VLOOKUP(Tabla3[[#This Row],[CONTABLE]],'SAPROV (2)'!L:M,2,FALSE)</f>
        <v>#N/A</v>
      </c>
      <c r="H444" t="s">
        <v>588</v>
      </c>
      <c r="I444" s="2" t="str">
        <f>VLOOKUP(Tabla3[[#This Row],[Deposito]],'SAPROV (2)'!D:E,2,FALSE)</f>
        <v>A01</v>
      </c>
      <c r="K444" s="23" t="s">
        <v>23</v>
      </c>
      <c r="L444" s="23" t="str">
        <f>VLOOKUP(Tabla3[[#This Row],[PROVEEDOR]],'SAPROV (2)'!A:B,2,FALSE)</f>
        <v>04</v>
      </c>
      <c r="M444" t="str">
        <f>VLOOKUP(Tabla3[[#This Row],[SERVICIO]],'SAPROV (2)'!I:J,2,FALSE)</f>
        <v>SERV0060</v>
      </c>
      <c r="N444" t="s">
        <v>611</v>
      </c>
      <c r="P444">
        <f>VLOOKUP(Tabla3[[#This Row],[FECHA]],TASA[],2,FALSE)</f>
        <v>339.15</v>
      </c>
      <c r="Q444" s="4">
        <f t="shared" si="59"/>
        <v>-7.3713696004717679</v>
      </c>
      <c r="R444" t="s">
        <v>1253</v>
      </c>
    </row>
    <row r="445" spans="1:18" x14ac:dyDescent="0.25">
      <c r="A445" s="33">
        <v>46038</v>
      </c>
      <c r="B445" s="1">
        <v>9884816012026</v>
      </c>
      <c r="C445" s="2" t="s">
        <v>1252</v>
      </c>
      <c r="D445" s="34">
        <v>-410.08</v>
      </c>
      <c r="E445" t="s">
        <v>20</v>
      </c>
      <c r="F445" s="2" t="e">
        <f>VLOOKUP(Tabla3[[#This Row],[CONTABLE]],'SAPROV (2)'!L:M,2,FALSE)</f>
        <v>#N/A</v>
      </c>
      <c r="H445" t="s">
        <v>588</v>
      </c>
      <c r="I445" s="2" t="str">
        <f>VLOOKUP(Tabla3[[#This Row],[Deposito]],'SAPROV (2)'!D:E,2,FALSE)</f>
        <v>A01</v>
      </c>
      <c r="K445" s="23" t="s">
        <v>23</v>
      </c>
      <c r="L445" s="2" t="str">
        <f>VLOOKUP(Tabla3[[#This Row],[PROVEEDOR]],'SAPROV (2)'!A:B,2,FALSE)</f>
        <v>04</v>
      </c>
      <c r="M445" t="str">
        <f>VLOOKUP(Tabla3[[#This Row],[SERVICIO]],'SAPROV (2)'!I:J,2,FALSE)</f>
        <v>SERV0060</v>
      </c>
      <c r="N445" t="s">
        <v>611</v>
      </c>
      <c r="P445">
        <f>VLOOKUP(Tabla3[[#This Row],[FECHA]],TASA[],2,FALSE)</f>
        <v>341.74</v>
      </c>
      <c r="Q445" s="4">
        <f t="shared" si="59"/>
        <v>-1.1999765903903552</v>
      </c>
      <c r="R445" t="s">
        <v>1253</v>
      </c>
    </row>
    <row r="446" spans="1:18" x14ac:dyDescent="0.25">
      <c r="A446" s="33">
        <v>46038</v>
      </c>
      <c r="B446" s="1">
        <v>676226793004</v>
      </c>
      <c r="C446" s="2" t="s">
        <v>1251</v>
      </c>
      <c r="D446" s="34">
        <v>-126.01</v>
      </c>
      <c r="E446" t="s">
        <v>20</v>
      </c>
      <c r="F446" s="2" t="e">
        <f>VLOOKUP(Tabla3[[#This Row],[CONTABLE]],'SAPROV (2)'!L:M,2,FALSE)</f>
        <v>#N/A</v>
      </c>
      <c r="H446" t="s">
        <v>588</v>
      </c>
      <c r="I446" s="2" t="str">
        <f>VLOOKUP(Tabla3[[#This Row],[Deposito]],'SAPROV (2)'!D:E,2,FALSE)</f>
        <v>A01</v>
      </c>
      <c r="K446" s="23" t="s">
        <v>23</v>
      </c>
      <c r="L446" s="23" t="str">
        <f>VLOOKUP(Tabla3[[#This Row],[PROVEEDOR]],'SAPROV (2)'!A:B,2,FALSE)</f>
        <v>04</v>
      </c>
      <c r="M446" t="str">
        <f>VLOOKUP(Tabla3[[#This Row],[SERVICIO]],'SAPROV (2)'!I:J,2,FALSE)</f>
        <v>SERV0060</v>
      </c>
      <c r="N446" t="s">
        <v>611</v>
      </c>
      <c r="P446">
        <f>VLOOKUP(Tabla3[[#This Row],[FECHA]],TASA[],2,FALSE)</f>
        <v>341.74</v>
      </c>
      <c r="Q446" s="4">
        <f t="shared" si="59"/>
        <v>-0.36873061391701295</v>
      </c>
      <c r="R446" t="s">
        <v>1253</v>
      </c>
    </row>
    <row r="447" spans="1:18" x14ac:dyDescent="0.25">
      <c r="A447" s="33">
        <v>46038</v>
      </c>
      <c r="B447" s="1">
        <v>676226794005</v>
      </c>
      <c r="C447" s="2" t="s">
        <v>1251</v>
      </c>
      <c r="D447" s="34">
        <v>-425.93</v>
      </c>
      <c r="E447" t="s">
        <v>20</v>
      </c>
      <c r="F447" s="2" t="e">
        <f>VLOOKUP(Tabla3[[#This Row],[CONTABLE]],'SAPROV (2)'!L:M,2,FALSE)</f>
        <v>#N/A</v>
      </c>
      <c r="H447" t="s">
        <v>588</v>
      </c>
      <c r="I447" s="2" t="str">
        <f>VLOOKUP(Tabla3[[#This Row],[Deposito]],'SAPROV (2)'!D:E,2,FALSE)</f>
        <v>A01</v>
      </c>
      <c r="K447" s="23" t="s">
        <v>23</v>
      </c>
      <c r="L447" s="23" t="str">
        <f>VLOOKUP(Tabla3[[#This Row],[PROVEEDOR]],'SAPROV (2)'!A:B,2,FALSE)</f>
        <v>04</v>
      </c>
      <c r="M447" t="str">
        <f>VLOOKUP(Tabla3[[#This Row],[SERVICIO]],'SAPROV (2)'!I:J,2,FALSE)</f>
        <v>SERV0060</v>
      </c>
      <c r="N447" t="s">
        <v>611</v>
      </c>
      <c r="P447">
        <f>VLOOKUP(Tabla3[[#This Row],[FECHA]],TASA[],2,FALSE)</f>
        <v>341.74</v>
      </c>
      <c r="Q447" s="4">
        <f t="shared" si="59"/>
        <v>-1.2463568794990343</v>
      </c>
      <c r="R447" t="s">
        <v>1253</v>
      </c>
    </row>
    <row r="448" spans="1:18" x14ac:dyDescent="0.25">
      <c r="A448" s="33">
        <v>46038</v>
      </c>
      <c r="B448" s="1">
        <v>676226795006</v>
      </c>
      <c r="C448" s="2" t="s">
        <v>1251</v>
      </c>
      <c r="D448" s="34">
        <v>-221.57</v>
      </c>
      <c r="E448" t="s">
        <v>20</v>
      </c>
      <c r="F448" s="2" t="e">
        <f>VLOOKUP(Tabla3[[#This Row],[CONTABLE]],'SAPROV (2)'!L:M,2,FALSE)</f>
        <v>#N/A</v>
      </c>
      <c r="H448" t="s">
        <v>588</v>
      </c>
      <c r="I448" s="2" t="str">
        <f>VLOOKUP(Tabla3[[#This Row],[Deposito]],'SAPROV (2)'!D:E,2,FALSE)</f>
        <v>A01</v>
      </c>
      <c r="K448" s="23" t="s">
        <v>23</v>
      </c>
      <c r="L448" s="2" t="str">
        <f>VLOOKUP(Tabla3[[#This Row],[PROVEEDOR]],'SAPROV (2)'!A:B,2,FALSE)</f>
        <v>04</v>
      </c>
      <c r="M448" t="str">
        <f>VLOOKUP(Tabla3[[#This Row],[SERVICIO]],'SAPROV (2)'!I:J,2,FALSE)</f>
        <v>SERV0060</v>
      </c>
      <c r="N448" t="s">
        <v>611</v>
      </c>
      <c r="P448">
        <f>VLOOKUP(Tabla3[[#This Row],[FECHA]],TASA[],2,FALSE)</f>
        <v>341.74</v>
      </c>
      <c r="Q448" s="4">
        <f t="shared" si="59"/>
        <v>-0.64835840112366128</v>
      </c>
      <c r="R448" t="s">
        <v>1253</v>
      </c>
    </row>
    <row r="449" spans="1:18" x14ac:dyDescent="0.25">
      <c r="A449" s="33">
        <v>46038</v>
      </c>
      <c r="B449" s="1">
        <v>676226798009</v>
      </c>
      <c r="C449" s="2" t="s">
        <v>1251</v>
      </c>
      <c r="D449" s="34">
        <v>-396.83</v>
      </c>
      <c r="E449" t="s">
        <v>20</v>
      </c>
      <c r="F449" s="2" t="e">
        <f>VLOOKUP(Tabla3[[#This Row],[CONTABLE]],'SAPROV (2)'!L:M,2,FALSE)</f>
        <v>#N/A</v>
      </c>
      <c r="H449" t="s">
        <v>588</v>
      </c>
      <c r="I449" s="2" t="str">
        <f>VLOOKUP(Tabla3[[#This Row],[Deposito]],'SAPROV (2)'!D:E,2,FALSE)</f>
        <v>A01</v>
      </c>
      <c r="K449" s="23" t="s">
        <v>23</v>
      </c>
      <c r="L449" s="23" t="str">
        <f>VLOOKUP(Tabla3[[#This Row],[PROVEEDOR]],'SAPROV (2)'!A:B,2,FALSE)</f>
        <v>04</v>
      </c>
      <c r="M449" t="str">
        <f>VLOOKUP(Tabla3[[#This Row],[SERVICIO]],'SAPROV (2)'!I:J,2,FALSE)</f>
        <v>SERV0060</v>
      </c>
      <c r="N449" t="s">
        <v>611</v>
      </c>
      <c r="P449">
        <f>VLOOKUP(Tabla3[[#This Row],[FECHA]],TASA[],2,FALSE)</f>
        <v>341.74</v>
      </c>
      <c r="Q449" s="4">
        <f t="shared" si="59"/>
        <v>-1.1612044244162227</v>
      </c>
      <c r="R449" t="s">
        <v>1253</v>
      </c>
    </row>
    <row r="450" spans="1:18" x14ac:dyDescent="0.25">
      <c r="A450" s="33">
        <v>46038</v>
      </c>
      <c r="B450" s="1">
        <v>676226792003</v>
      </c>
      <c r="C450" s="2" t="s">
        <v>1251</v>
      </c>
      <c r="D450" s="34">
        <v>-97.39</v>
      </c>
      <c r="E450" t="s">
        <v>20</v>
      </c>
      <c r="F450" s="2" t="e">
        <f>VLOOKUP(Tabla3[[#This Row],[CONTABLE]],'SAPROV (2)'!L:M,2,FALSE)</f>
        <v>#N/A</v>
      </c>
      <c r="H450" t="s">
        <v>588</v>
      </c>
      <c r="I450" s="2" t="str">
        <f>VLOOKUP(Tabla3[[#This Row],[Deposito]],'SAPROV (2)'!D:E,2,FALSE)</f>
        <v>A01</v>
      </c>
      <c r="K450" s="23" t="s">
        <v>23</v>
      </c>
      <c r="L450" s="23" t="str">
        <f>VLOOKUP(Tabla3[[#This Row],[PROVEEDOR]],'SAPROV (2)'!A:B,2,FALSE)</f>
        <v>04</v>
      </c>
      <c r="M450" t="str">
        <f>VLOOKUP(Tabla3[[#This Row],[SERVICIO]],'SAPROV (2)'!I:J,2,FALSE)</f>
        <v>SERV0060</v>
      </c>
      <c r="N450" t="s">
        <v>611</v>
      </c>
      <c r="P450">
        <f>VLOOKUP(Tabla3[[#This Row],[FECHA]],TASA[],2,FALSE)</f>
        <v>341.74</v>
      </c>
      <c r="Q450" s="4">
        <f t="shared" si="59"/>
        <v>-0.28498273541288699</v>
      </c>
      <c r="R450" t="s">
        <v>1253</v>
      </c>
    </row>
    <row r="451" spans="1:18" x14ac:dyDescent="0.25">
      <c r="A451" s="33">
        <v>46038</v>
      </c>
      <c r="B451" s="1">
        <v>676226790001</v>
      </c>
      <c r="C451" s="2" t="s">
        <v>1251</v>
      </c>
      <c r="D451" s="34">
        <v>-77.91</v>
      </c>
      <c r="E451" t="s">
        <v>20</v>
      </c>
      <c r="F451" s="2" t="e">
        <f>VLOOKUP(Tabla3[[#This Row],[CONTABLE]],'SAPROV (2)'!L:M,2,FALSE)</f>
        <v>#N/A</v>
      </c>
      <c r="H451" t="s">
        <v>588</v>
      </c>
      <c r="I451" s="2" t="str">
        <f>VLOOKUP(Tabla3[[#This Row],[Deposito]],'SAPROV (2)'!D:E,2,FALSE)</f>
        <v>A01</v>
      </c>
      <c r="K451" s="23" t="s">
        <v>23</v>
      </c>
      <c r="L451" s="2" t="str">
        <f>VLOOKUP(Tabla3[[#This Row],[PROVEEDOR]],'SAPROV (2)'!A:B,2,FALSE)</f>
        <v>04</v>
      </c>
      <c r="M451" t="str">
        <f>VLOOKUP(Tabla3[[#This Row],[SERVICIO]],'SAPROV (2)'!I:J,2,FALSE)</f>
        <v>SERV0060</v>
      </c>
      <c r="N451" t="s">
        <v>611</v>
      </c>
      <c r="P451">
        <f>VLOOKUP(Tabla3[[#This Row],[FECHA]],TASA[],2,FALSE)</f>
        <v>341.74</v>
      </c>
      <c r="Q451" s="4">
        <f t="shared" si="59"/>
        <v>-0.22798033592789838</v>
      </c>
      <c r="R451" t="s">
        <v>1253</v>
      </c>
    </row>
    <row r="452" spans="1:18" x14ac:dyDescent="0.25">
      <c r="A452" s="33">
        <v>46038</v>
      </c>
      <c r="B452" s="1">
        <v>676226800009</v>
      </c>
      <c r="C452" s="2" t="s">
        <v>1251</v>
      </c>
      <c r="D452" s="34">
        <v>-1475.24</v>
      </c>
      <c r="E452" t="s">
        <v>20</v>
      </c>
      <c r="F452" s="2" t="e">
        <f>VLOOKUP(Tabla3[[#This Row],[CONTABLE]],'SAPROV (2)'!L:M,2,FALSE)</f>
        <v>#N/A</v>
      </c>
      <c r="H452" t="s">
        <v>588</v>
      </c>
      <c r="I452" s="2" t="str">
        <f>VLOOKUP(Tabla3[[#This Row],[Deposito]],'SAPROV (2)'!D:E,2,FALSE)</f>
        <v>A01</v>
      </c>
      <c r="K452" s="23" t="s">
        <v>23</v>
      </c>
      <c r="L452" s="23" t="str">
        <f>VLOOKUP(Tabla3[[#This Row],[PROVEEDOR]],'SAPROV (2)'!A:B,2,FALSE)</f>
        <v>04</v>
      </c>
      <c r="M452" t="str">
        <f>VLOOKUP(Tabla3[[#This Row],[SERVICIO]],'SAPROV (2)'!I:J,2,FALSE)</f>
        <v>SERV0060</v>
      </c>
      <c r="N452" t="s">
        <v>611</v>
      </c>
      <c r="P452">
        <f>VLOOKUP(Tabla3[[#This Row],[FECHA]],TASA[],2,FALSE)</f>
        <v>341.74</v>
      </c>
      <c r="Q452" s="4">
        <f t="shared" ref="Q452:Q453" si="60">D452/P452</f>
        <v>-4.3168490665418151</v>
      </c>
      <c r="R452" t="s">
        <v>1253</v>
      </c>
    </row>
    <row r="453" spans="1:18" x14ac:dyDescent="0.25">
      <c r="A453" s="33">
        <v>46038</v>
      </c>
      <c r="B453" s="1">
        <v>676226797008</v>
      </c>
      <c r="C453" s="2" t="s">
        <v>1251</v>
      </c>
      <c r="D453" s="34">
        <v>-1380</v>
      </c>
      <c r="E453" t="s">
        <v>20</v>
      </c>
      <c r="F453" s="2" t="e">
        <f>VLOOKUP(Tabla3[[#This Row],[CONTABLE]],'SAPROV (2)'!L:M,2,FALSE)</f>
        <v>#N/A</v>
      </c>
      <c r="H453" t="s">
        <v>588</v>
      </c>
      <c r="I453" s="2" t="str">
        <f>VLOOKUP(Tabla3[[#This Row],[Deposito]],'SAPROV (2)'!D:E,2,FALSE)</f>
        <v>A01</v>
      </c>
      <c r="K453" s="23" t="s">
        <v>23</v>
      </c>
      <c r="L453" s="23" t="str">
        <f>VLOOKUP(Tabla3[[#This Row],[PROVEEDOR]],'SAPROV (2)'!A:B,2,FALSE)</f>
        <v>04</v>
      </c>
      <c r="M453" t="str">
        <f>VLOOKUP(Tabla3[[#This Row],[SERVICIO]],'SAPROV (2)'!I:J,2,FALSE)</f>
        <v>SERV0060</v>
      </c>
      <c r="N453" t="s">
        <v>611</v>
      </c>
      <c r="P453">
        <f>VLOOKUP(Tabla3[[#This Row],[FECHA]],TASA[],2,FALSE)</f>
        <v>341.74</v>
      </c>
      <c r="Q453" s="4">
        <f t="shared" si="60"/>
        <v>-4.0381576637209573</v>
      </c>
      <c r="R453" t="s">
        <v>1253</v>
      </c>
    </row>
    <row r="454" spans="1:18" x14ac:dyDescent="0.25">
      <c r="A454" s="33">
        <v>46038</v>
      </c>
      <c r="B454" s="1">
        <v>676226796007</v>
      </c>
      <c r="C454" s="2" t="s">
        <v>1251</v>
      </c>
      <c r="D454" s="34">
        <v>-410.09</v>
      </c>
      <c r="E454" t="s">
        <v>20</v>
      </c>
      <c r="F454" s="2" t="e">
        <f>VLOOKUP(Tabla3[[#This Row],[CONTABLE]],'SAPROV (2)'!L:M,2,FALSE)</f>
        <v>#N/A</v>
      </c>
      <c r="H454" t="s">
        <v>588</v>
      </c>
      <c r="I454" s="2" t="str">
        <f>VLOOKUP(Tabla3[[#This Row],[Deposito]],'SAPROV (2)'!D:E,2,FALSE)</f>
        <v>A01</v>
      </c>
      <c r="K454" s="23" t="s">
        <v>23</v>
      </c>
      <c r="L454" s="2" t="str">
        <f>VLOOKUP(Tabla3[[#This Row],[PROVEEDOR]],'SAPROV (2)'!A:B,2,FALSE)</f>
        <v>04</v>
      </c>
      <c r="M454" t="str">
        <f>VLOOKUP(Tabla3[[#This Row],[SERVICIO]],'SAPROV (2)'!I:J,2,FALSE)</f>
        <v>SERV0060</v>
      </c>
      <c r="N454" t="s">
        <v>611</v>
      </c>
      <c r="P454">
        <f>VLOOKUP(Tabla3[[#This Row],[FECHA]],TASA[],2,FALSE)</f>
        <v>341.74</v>
      </c>
      <c r="Q454" s="4">
        <f t="shared" ref="Q454:Q455" si="61">D454/P454</f>
        <v>-1.2000058524024111</v>
      </c>
      <c r="R454" t="s">
        <v>1253</v>
      </c>
    </row>
    <row r="455" spans="1:18" x14ac:dyDescent="0.25">
      <c r="A455" s="33">
        <v>46038</v>
      </c>
      <c r="B455" s="1">
        <v>676226791002</v>
      </c>
      <c r="C455" s="2" t="s">
        <v>1251</v>
      </c>
      <c r="D455" s="34">
        <v>-59.92</v>
      </c>
      <c r="E455" t="s">
        <v>20</v>
      </c>
      <c r="F455" s="2" t="e">
        <f>VLOOKUP(Tabla3[[#This Row],[CONTABLE]],'SAPROV (2)'!L:M,2,FALSE)</f>
        <v>#N/A</v>
      </c>
      <c r="H455" t="s">
        <v>588</v>
      </c>
      <c r="I455" s="2" t="str">
        <f>VLOOKUP(Tabla3[[#This Row],[Deposito]],'SAPROV (2)'!D:E,2,FALSE)</f>
        <v>A01</v>
      </c>
      <c r="K455" s="23" t="s">
        <v>23</v>
      </c>
      <c r="L455" s="23" t="str">
        <f>VLOOKUP(Tabla3[[#This Row],[PROVEEDOR]],'SAPROV (2)'!A:B,2,FALSE)</f>
        <v>04</v>
      </c>
      <c r="M455" t="str">
        <f>VLOOKUP(Tabla3[[#This Row],[SERVICIO]],'SAPROV (2)'!I:J,2,FALSE)</f>
        <v>SERV0060</v>
      </c>
      <c r="N455" t="s">
        <v>611</v>
      </c>
      <c r="P455">
        <f>VLOOKUP(Tabla3[[#This Row],[FECHA]],TASA[],2,FALSE)</f>
        <v>341.74</v>
      </c>
      <c r="Q455" s="4">
        <f t="shared" si="61"/>
        <v>-0.17533797623924621</v>
      </c>
      <c r="R455" t="s">
        <v>1253</v>
      </c>
    </row>
    <row r="456" spans="1:18" x14ac:dyDescent="0.25">
      <c r="A456" s="33">
        <v>46038</v>
      </c>
      <c r="B456" s="1">
        <v>676226801008</v>
      </c>
      <c r="C456" s="2" t="s">
        <v>1251</v>
      </c>
      <c r="D456" s="34">
        <v>-2500</v>
      </c>
      <c r="E456" t="s">
        <v>20</v>
      </c>
      <c r="F456" s="2" t="e">
        <f>VLOOKUP(Tabla3[[#This Row],[CONTABLE]],'SAPROV (2)'!L:M,2,FALSE)</f>
        <v>#N/A</v>
      </c>
      <c r="H456" t="s">
        <v>588</v>
      </c>
      <c r="I456" s="2" t="str">
        <f>VLOOKUP(Tabla3[[#This Row],[Deposito]],'SAPROV (2)'!D:E,2,FALSE)</f>
        <v>A01</v>
      </c>
      <c r="K456" s="23" t="s">
        <v>23</v>
      </c>
      <c r="L456" s="23" t="str">
        <f>VLOOKUP(Tabla3[[#This Row],[PROVEEDOR]],'SAPROV (2)'!A:B,2,FALSE)</f>
        <v>04</v>
      </c>
      <c r="M456" t="str">
        <f>VLOOKUP(Tabla3[[#This Row],[SERVICIO]],'SAPROV (2)'!I:J,2,FALSE)</f>
        <v>SERV0060</v>
      </c>
      <c r="N456" t="s">
        <v>611</v>
      </c>
      <c r="P456">
        <f>VLOOKUP(Tabla3[[#This Row],[FECHA]],TASA[],2,FALSE)</f>
        <v>341.74</v>
      </c>
      <c r="Q456" s="4">
        <f t="shared" ref="Q456:Q464" si="62">D456/P456</f>
        <v>-7.3155030139872412</v>
      </c>
      <c r="R456" t="s">
        <v>1253</v>
      </c>
    </row>
    <row r="457" spans="1:18" x14ac:dyDescent="0.25">
      <c r="A457" s="33">
        <v>46038</v>
      </c>
      <c r="B457" s="1">
        <v>676226799009</v>
      </c>
      <c r="C457" s="2" t="s">
        <v>1251</v>
      </c>
      <c r="D457" s="34">
        <v>-396.48</v>
      </c>
      <c r="E457" t="s">
        <v>20</v>
      </c>
      <c r="F457" s="2" t="e">
        <f>VLOOKUP(Tabla3[[#This Row],[CONTABLE]],'SAPROV (2)'!L:M,2,FALSE)</f>
        <v>#N/A</v>
      </c>
      <c r="H457" t="s">
        <v>588</v>
      </c>
      <c r="I457" s="2" t="str">
        <f>VLOOKUP(Tabla3[[#This Row],[Deposito]],'SAPROV (2)'!D:E,2,FALSE)</f>
        <v>A01</v>
      </c>
      <c r="K457" s="23" t="s">
        <v>23</v>
      </c>
      <c r="L457" s="2" t="str">
        <f>VLOOKUP(Tabla3[[#This Row],[PROVEEDOR]],'SAPROV (2)'!A:B,2,FALSE)</f>
        <v>04</v>
      </c>
      <c r="M457" t="str">
        <f>VLOOKUP(Tabla3[[#This Row],[SERVICIO]],'SAPROV (2)'!I:J,2,FALSE)</f>
        <v>SERV0060</v>
      </c>
      <c r="N457" t="s">
        <v>611</v>
      </c>
      <c r="P457">
        <f>VLOOKUP(Tabla3[[#This Row],[FECHA]],TASA[],2,FALSE)</f>
        <v>341.74</v>
      </c>
      <c r="Q457" s="4">
        <f t="shared" si="62"/>
        <v>-1.1601802539942647</v>
      </c>
      <c r="R457" t="s">
        <v>1253</v>
      </c>
    </row>
    <row r="458" spans="1:18" x14ac:dyDescent="0.25">
      <c r="A458" s="33">
        <v>46038</v>
      </c>
      <c r="B458" s="1">
        <v>676218874002</v>
      </c>
      <c r="C458" s="2" t="s">
        <v>1251</v>
      </c>
      <c r="D458" s="34">
        <v>-399.32</v>
      </c>
      <c r="E458" t="s">
        <v>20</v>
      </c>
      <c r="F458" s="2" t="e">
        <f>VLOOKUP(Tabla3[[#This Row],[CONTABLE]],'SAPROV (2)'!L:M,2,FALSE)</f>
        <v>#N/A</v>
      </c>
      <c r="H458" t="s">
        <v>588</v>
      </c>
      <c r="I458" s="2" t="str">
        <f>VLOOKUP(Tabla3[[#This Row],[Deposito]],'SAPROV (2)'!D:E,2,FALSE)</f>
        <v>A01</v>
      </c>
      <c r="K458" s="23" t="s">
        <v>23</v>
      </c>
      <c r="L458" s="23" t="str">
        <f>VLOOKUP(Tabla3[[#This Row],[PROVEEDOR]],'SAPROV (2)'!A:B,2,FALSE)</f>
        <v>04</v>
      </c>
      <c r="M458" t="str">
        <f>VLOOKUP(Tabla3[[#This Row],[SERVICIO]],'SAPROV (2)'!I:J,2,FALSE)</f>
        <v>SERV0060</v>
      </c>
      <c r="N458" t="s">
        <v>611</v>
      </c>
      <c r="P458">
        <f>VLOOKUP(Tabla3[[#This Row],[FECHA]],TASA[],2,FALSE)</f>
        <v>341.74</v>
      </c>
      <c r="Q458" s="4">
        <f t="shared" si="62"/>
        <v>-1.1684906654181542</v>
      </c>
      <c r="R458" t="s">
        <v>1253</v>
      </c>
    </row>
    <row r="459" spans="1:18" x14ac:dyDescent="0.25">
      <c r="A459" s="33">
        <v>46038</v>
      </c>
      <c r="B459" s="1">
        <v>676218873001</v>
      </c>
      <c r="C459" s="2" t="s">
        <v>1251</v>
      </c>
      <c r="D459" s="34">
        <v>-589.59</v>
      </c>
      <c r="E459" t="s">
        <v>20</v>
      </c>
      <c r="F459" s="2" t="e">
        <f>VLOOKUP(Tabla3[[#This Row],[CONTABLE]],'SAPROV (2)'!L:M,2,FALSE)</f>
        <v>#N/A</v>
      </c>
      <c r="H459" t="s">
        <v>588</v>
      </c>
      <c r="I459" s="2" t="str">
        <f>VLOOKUP(Tabla3[[#This Row],[Deposito]],'SAPROV (2)'!D:E,2,FALSE)</f>
        <v>A01</v>
      </c>
      <c r="K459" s="23" t="s">
        <v>23</v>
      </c>
      <c r="L459" s="23" t="str">
        <f>VLOOKUP(Tabla3[[#This Row],[PROVEEDOR]],'SAPROV (2)'!A:B,2,FALSE)</f>
        <v>04</v>
      </c>
      <c r="M459" t="str">
        <f>VLOOKUP(Tabla3[[#This Row],[SERVICIO]],'SAPROV (2)'!I:J,2,FALSE)</f>
        <v>SERV0060</v>
      </c>
      <c r="N459" t="s">
        <v>611</v>
      </c>
      <c r="P459">
        <f>VLOOKUP(Tabla3[[#This Row],[FECHA]],TASA[],2,FALSE)</f>
        <v>341.74</v>
      </c>
      <c r="Q459" s="4">
        <f t="shared" si="62"/>
        <v>-1.7252589688066953</v>
      </c>
      <c r="R459" t="s">
        <v>1253</v>
      </c>
    </row>
    <row r="460" spans="1:18" x14ac:dyDescent="0.25">
      <c r="A460" s="33">
        <v>46041</v>
      </c>
      <c r="B460" s="1">
        <v>676274021001</v>
      </c>
      <c r="C460" s="2" t="s">
        <v>1251</v>
      </c>
      <c r="D460" s="34">
        <v>-2500</v>
      </c>
      <c r="E460" t="s">
        <v>20</v>
      </c>
      <c r="F460" s="2" t="e">
        <f>VLOOKUP(Tabla3[[#This Row],[CONTABLE]],'SAPROV (2)'!L:M,2,FALSE)</f>
        <v>#N/A</v>
      </c>
      <c r="H460" t="s">
        <v>588</v>
      </c>
      <c r="I460" s="2" t="str">
        <f>VLOOKUP(Tabla3[[#This Row],[Deposito]],'SAPROV (2)'!D:E,2,FALSE)</f>
        <v>A01</v>
      </c>
      <c r="K460" s="23" t="s">
        <v>23</v>
      </c>
      <c r="L460" s="2" t="str">
        <f>VLOOKUP(Tabla3[[#This Row],[PROVEEDOR]],'SAPROV (2)'!A:B,2,FALSE)</f>
        <v>04</v>
      </c>
      <c r="M460" t="str">
        <f>VLOOKUP(Tabla3[[#This Row],[SERVICIO]],'SAPROV (2)'!I:J,2,FALSE)</f>
        <v>SERV0060</v>
      </c>
      <c r="N460" t="s">
        <v>611</v>
      </c>
      <c r="P460">
        <f>VLOOKUP(Tabla3[[#This Row],[FECHA]],TASA[],2,FALSE)</f>
        <v>344.51</v>
      </c>
      <c r="Q460" s="4">
        <f t="shared" si="62"/>
        <v>-7.2566834054163891</v>
      </c>
      <c r="R460" t="s">
        <v>1253</v>
      </c>
    </row>
    <row r="461" spans="1:18" x14ac:dyDescent="0.25">
      <c r="A461" s="33">
        <v>46041</v>
      </c>
      <c r="B461" s="1">
        <v>676274024001</v>
      </c>
      <c r="C461" s="2" t="s">
        <v>1251</v>
      </c>
      <c r="D461" s="34">
        <v>-2500</v>
      </c>
      <c r="E461" t="s">
        <v>20</v>
      </c>
      <c r="F461" s="2" t="e">
        <f>VLOOKUP(Tabla3[[#This Row],[CONTABLE]],'SAPROV (2)'!L:M,2,FALSE)</f>
        <v>#N/A</v>
      </c>
      <c r="H461" t="s">
        <v>588</v>
      </c>
      <c r="I461" s="2" t="str">
        <f>VLOOKUP(Tabla3[[#This Row],[Deposito]],'SAPROV (2)'!D:E,2,FALSE)</f>
        <v>A01</v>
      </c>
      <c r="K461" s="23" t="s">
        <v>23</v>
      </c>
      <c r="L461" s="23" t="str">
        <f>VLOOKUP(Tabla3[[#This Row],[PROVEEDOR]],'SAPROV (2)'!A:B,2,FALSE)</f>
        <v>04</v>
      </c>
      <c r="M461" t="str">
        <f>VLOOKUP(Tabla3[[#This Row],[SERVICIO]],'SAPROV (2)'!I:J,2,FALSE)</f>
        <v>SERV0060</v>
      </c>
      <c r="N461" t="s">
        <v>611</v>
      </c>
      <c r="P461">
        <f>VLOOKUP(Tabla3[[#This Row],[FECHA]],TASA[],2,FALSE)</f>
        <v>344.51</v>
      </c>
      <c r="Q461" s="4">
        <f t="shared" si="62"/>
        <v>-7.2566834054163891</v>
      </c>
      <c r="R461" t="s">
        <v>1253</v>
      </c>
    </row>
    <row r="462" spans="1:18" x14ac:dyDescent="0.25">
      <c r="A462" s="33">
        <v>46041</v>
      </c>
      <c r="B462" s="1">
        <v>676274025001</v>
      </c>
      <c r="C462" s="2" t="s">
        <v>1251</v>
      </c>
      <c r="D462" s="34">
        <v>-2500</v>
      </c>
      <c r="E462" t="s">
        <v>20</v>
      </c>
      <c r="F462" s="2" t="e">
        <f>VLOOKUP(Tabla3[[#This Row],[CONTABLE]],'SAPROV (2)'!L:M,2,FALSE)</f>
        <v>#N/A</v>
      </c>
      <c r="H462" t="s">
        <v>588</v>
      </c>
      <c r="I462" s="2" t="str">
        <f>VLOOKUP(Tabla3[[#This Row],[Deposito]],'SAPROV (2)'!D:E,2,FALSE)</f>
        <v>A01</v>
      </c>
      <c r="K462" s="23" t="s">
        <v>23</v>
      </c>
      <c r="L462" s="23" t="str">
        <f>VLOOKUP(Tabla3[[#This Row],[PROVEEDOR]],'SAPROV (2)'!A:B,2,FALSE)</f>
        <v>04</v>
      </c>
      <c r="M462" t="str">
        <f>VLOOKUP(Tabla3[[#This Row],[SERVICIO]],'SAPROV (2)'!I:J,2,FALSE)</f>
        <v>SERV0060</v>
      </c>
      <c r="N462" t="s">
        <v>611</v>
      </c>
      <c r="P462">
        <f>VLOOKUP(Tabla3[[#This Row],[FECHA]],TASA[],2,FALSE)</f>
        <v>344.51</v>
      </c>
      <c r="Q462" s="4">
        <f t="shared" si="62"/>
        <v>-7.2566834054163891</v>
      </c>
      <c r="R462" t="s">
        <v>1253</v>
      </c>
    </row>
    <row r="463" spans="1:18" x14ac:dyDescent="0.25">
      <c r="A463" s="33">
        <v>46041</v>
      </c>
      <c r="B463" s="1">
        <v>676274031001</v>
      </c>
      <c r="C463" s="2" t="s">
        <v>1251</v>
      </c>
      <c r="D463" s="34">
        <v>-2500</v>
      </c>
      <c r="E463" t="s">
        <v>20</v>
      </c>
      <c r="F463" s="2" t="e">
        <f>VLOOKUP(Tabla3[[#This Row],[CONTABLE]],'SAPROV (2)'!L:M,2,FALSE)</f>
        <v>#N/A</v>
      </c>
      <c r="H463" t="s">
        <v>588</v>
      </c>
      <c r="I463" s="2" t="str">
        <f>VLOOKUP(Tabla3[[#This Row],[Deposito]],'SAPROV (2)'!D:E,2,FALSE)</f>
        <v>A01</v>
      </c>
      <c r="K463" s="23" t="s">
        <v>23</v>
      </c>
      <c r="L463" s="2" t="str">
        <f>VLOOKUP(Tabla3[[#This Row],[PROVEEDOR]],'SAPROV (2)'!A:B,2,FALSE)</f>
        <v>04</v>
      </c>
      <c r="M463" t="str">
        <f>VLOOKUP(Tabla3[[#This Row],[SERVICIO]],'SAPROV (2)'!I:J,2,FALSE)</f>
        <v>SERV0060</v>
      </c>
      <c r="N463" t="s">
        <v>611</v>
      </c>
      <c r="P463">
        <f>VLOOKUP(Tabla3[[#This Row],[FECHA]],TASA[],2,FALSE)</f>
        <v>344.51</v>
      </c>
      <c r="Q463" s="4">
        <f t="shared" si="62"/>
        <v>-7.2566834054163891</v>
      </c>
      <c r="R463" t="s">
        <v>1253</v>
      </c>
    </row>
    <row r="464" spans="1:18" x14ac:dyDescent="0.25">
      <c r="A464" s="33">
        <v>46041</v>
      </c>
      <c r="B464" s="1">
        <v>676274032001</v>
      </c>
      <c r="C464" s="2" t="s">
        <v>1251</v>
      </c>
      <c r="D464" s="34">
        <v>-2500</v>
      </c>
      <c r="E464" t="s">
        <v>20</v>
      </c>
      <c r="F464" s="2" t="e">
        <f>VLOOKUP(Tabla3[[#This Row],[CONTABLE]],'SAPROV (2)'!L:M,2,FALSE)</f>
        <v>#N/A</v>
      </c>
      <c r="H464" t="s">
        <v>588</v>
      </c>
      <c r="I464" s="2" t="str">
        <f>VLOOKUP(Tabla3[[#This Row],[Deposito]],'SAPROV (2)'!D:E,2,FALSE)</f>
        <v>A01</v>
      </c>
      <c r="K464" s="23" t="s">
        <v>23</v>
      </c>
      <c r="L464" s="23" t="str">
        <f>VLOOKUP(Tabla3[[#This Row],[PROVEEDOR]],'SAPROV (2)'!A:B,2,FALSE)</f>
        <v>04</v>
      </c>
      <c r="M464" t="str">
        <f>VLOOKUP(Tabla3[[#This Row],[SERVICIO]],'SAPROV (2)'!I:J,2,FALSE)</f>
        <v>SERV0060</v>
      </c>
      <c r="N464" t="s">
        <v>611</v>
      </c>
      <c r="P464">
        <f>VLOOKUP(Tabla3[[#This Row],[FECHA]],TASA[],2,FALSE)</f>
        <v>344.51</v>
      </c>
      <c r="Q464" s="4">
        <f t="shared" si="62"/>
        <v>-7.2566834054163891</v>
      </c>
      <c r="R464" t="s">
        <v>1253</v>
      </c>
    </row>
    <row r="465" spans="1:18" x14ac:dyDescent="0.25">
      <c r="A465" s="33">
        <v>46041</v>
      </c>
      <c r="B465" s="1">
        <v>676274022001</v>
      </c>
      <c r="C465" s="2" t="s">
        <v>1251</v>
      </c>
      <c r="D465" s="34">
        <v>-2500</v>
      </c>
      <c r="E465" t="s">
        <v>20</v>
      </c>
      <c r="F465" s="2" t="e">
        <f>VLOOKUP(Tabla3[[#This Row],[CONTABLE]],'SAPROV (2)'!L:M,2,FALSE)</f>
        <v>#N/A</v>
      </c>
      <c r="H465" t="s">
        <v>588</v>
      </c>
      <c r="I465" s="2" t="str">
        <f>VLOOKUP(Tabla3[[#This Row],[Deposito]],'SAPROV (2)'!D:E,2,FALSE)</f>
        <v>A01</v>
      </c>
      <c r="K465" s="23" t="s">
        <v>23</v>
      </c>
      <c r="L465" s="23" t="str">
        <f>VLOOKUP(Tabla3[[#This Row],[PROVEEDOR]],'SAPROV (2)'!A:B,2,FALSE)</f>
        <v>04</v>
      </c>
      <c r="M465" t="str">
        <f>VLOOKUP(Tabla3[[#This Row],[SERVICIO]],'SAPROV (2)'!I:J,2,FALSE)</f>
        <v>SERV0060</v>
      </c>
      <c r="N465" t="s">
        <v>611</v>
      </c>
      <c r="P465">
        <f>VLOOKUP(Tabla3[[#This Row],[FECHA]],TASA[],2,FALSE)</f>
        <v>344.51</v>
      </c>
      <c r="Q465" s="4">
        <f t="shared" ref="Q465:Q466" si="63">D465/P465</f>
        <v>-7.2566834054163891</v>
      </c>
      <c r="R465" t="s">
        <v>1253</v>
      </c>
    </row>
    <row r="466" spans="1:18" x14ac:dyDescent="0.25">
      <c r="A466" s="33">
        <v>46041</v>
      </c>
      <c r="B466" s="1">
        <v>676274028001</v>
      </c>
      <c r="C466" s="2" t="s">
        <v>1251</v>
      </c>
      <c r="D466" s="34">
        <v>-2500</v>
      </c>
      <c r="E466" t="s">
        <v>20</v>
      </c>
      <c r="F466" s="2" t="e">
        <f>VLOOKUP(Tabla3[[#This Row],[CONTABLE]],'SAPROV (2)'!L:M,2,FALSE)</f>
        <v>#N/A</v>
      </c>
      <c r="H466" t="s">
        <v>588</v>
      </c>
      <c r="I466" s="2" t="str">
        <f>VLOOKUP(Tabla3[[#This Row],[Deposito]],'SAPROV (2)'!D:E,2,FALSE)</f>
        <v>A01</v>
      </c>
      <c r="K466" s="23" t="s">
        <v>23</v>
      </c>
      <c r="L466" s="2" t="str">
        <f>VLOOKUP(Tabla3[[#This Row],[PROVEEDOR]],'SAPROV (2)'!A:B,2,FALSE)</f>
        <v>04</v>
      </c>
      <c r="M466" t="str">
        <f>VLOOKUP(Tabla3[[#This Row],[SERVICIO]],'SAPROV (2)'!I:J,2,FALSE)</f>
        <v>SERV0060</v>
      </c>
      <c r="N466" t="s">
        <v>611</v>
      </c>
      <c r="P466">
        <f>VLOOKUP(Tabla3[[#This Row],[FECHA]],TASA[],2,FALSE)</f>
        <v>344.51</v>
      </c>
      <c r="Q466" s="4">
        <f t="shared" si="63"/>
        <v>-7.2566834054163891</v>
      </c>
      <c r="R466" t="s">
        <v>1253</v>
      </c>
    </row>
    <row r="467" spans="1:18" x14ac:dyDescent="0.25">
      <c r="A467" s="33">
        <v>46041</v>
      </c>
      <c r="B467" s="1">
        <v>676274020001</v>
      </c>
      <c r="C467" s="2" t="s">
        <v>1251</v>
      </c>
      <c r="D467" s="34">
        <v>-2500</v>
      </c>
      <c r="E467" t="s">
        <v>20</v>
      </c>
      <c r="F467" s="2" t="e">
        <f>VLOOKUP(Tabla3[[#This Row],[CONTABLE]],'SAPROV (2)'!L:M,2,FALSE)</f>
        <v>#N/A</v>
      </c>
      <c r="H467" t="s">
        <v>588</v>
      </c>
      <c r="I467" s="2" t="str">
        <f>VLOOKUP(Tabla3[[#This Row],[Deposito]],'SAPROV (2)'!D:E,2,FALSE)</f>
        <v>A01</v>
      </c>
      <c r="K467" s="23" t="s">
        <v>23</v>
      </c>
      <c r="L467" s="23" t="str">
        <f>VLOOKUP(Tabla3[[#This Row],[PROVEEDOR]],'SAPROV (2)'!A:B,2,FALSE)</f>
        <v>04</v>
      </c>
      <c r="M467" t="str">
        <f>VLOOKUP(Tabla3[[#This Row],[SERVICIO]],'SAPROV (2)'!I:J,2,FALSE)</f>
        <v>SERV0060</v>
      </c>
      <c r="N467" t="s">
        <v>611</v>
      </c>
      <c r="P467">
        <f>VLOOKUP(Tabla3[[#This Row],[FECHA]],TASA[],2,FALSE)</f>
        <v>344.51</v>
      </c>
      <c r="Q467" s="4">
        <f t="shared" ref="Q467:Q468" si="64">D467/P467</f>
        <v>-7.2566834054163891</v>
      </c>
      <c r="R467" t="s">
        <v>1253</v>
      </c>
    </row>
    <row r="468" spans="1:18" x14ac:dyDescent="0.25">
      <c r="A468" s="33">
        <v>46041</v>
      </c>
      <c r="B468" s="1">
        <v>676274033001</v>
      </c>
      <c r="C468" s="2" t="s">
        <v>1251</v>
      </c>
      <c r="D468" s="34">
        <v>-2500</v>
      </c>
      <c r="E468" t="s">
        <v>20</v>
      </c>
      <c r="F468" s="2" t="e">
        <f>VLOOKUP(Tabla3[[#This Row],[CONTABLE]],'SAPROV (2)'!L:M,2,FALSE)</f>
        <v>#N/A</v>
      </c>
      <c r="H468" t="s">
        <v>588</v>
      </c>
      <c r="I468" s="2" t="str">
        <f>VLOOKUP(Tabla3[[#This Row],[Deposito]],'SAPROV (2)'!D:E,2,FALSE)</f>
        <v>A01</v>
      </c>
      <c r="K468" s="23" t="s">
        <v>23</v>
      </c>
      <c r="L468" s="23" t="str">
        <f>VLOOKUP(Tabla3[[#This Row],[PROVEEDOR]],'SAPROV (2)'!A:B,2,FALSE)</f>
        <v>04</v>
      </c>
      <c r="M468" t="str">
        <f>VLOOKUP(Tabla3[[#This Row],[SERVICIO]],'SAPROV (2)'!I:J,2,FALSE)</f>
        <v>SERV0060</v>
      </c>
      <c r="N468" t="s">
        <v>611</v>
      </c>
      <c r="P468">
        <f>VLOOKUP(Tabla3[[#This Row],[FECHA]],TASA[],2,FALSE)</f>
        <v>344.51</v>
      </c>
      <c r="Q468" s="4">
        <f t="shared" si="64"/>
        <v>-7.2566834054163891</v>
      </c>
      <c r="R468" t="s">
        <v>1253</v>
      </c>
    </row>
    <row r="469" spans="1:18" x14ac:dyDescent="0.25">
      <c r="A469" s="33">
        <v>46041</v>
      </c>
      <c r="B469" s="1">
        <v>676274035001</v>
      </c>
      <c r="C469" s="2" t="s">
        <v>1251</v>
      </c>
      <c r="D469" s="34">
        <v>-2500</v>
      </c>
      <c r="E469" t="s">
        <v>20</v>
      </c>
      <c r="F469" s="2" t="e">
        <f>VLOOKUP(Tabla3[[#This Row],[CONTABLE]],'SAPROV (2)'!L:M,2,FALSE)</f>
        <v>#N/A</v>
      </c>
      <c r="H469" t="s">
        <v>588</v>
      </c>
      <c r="I469" s="2" t="str">
        <f>VLOOKUP(Tabla3[[#This Row],[Deposito]],'SAPROV (2)'!D:E,2,FALSE)</f>
        <v>A01</v>
      </c>
      <c r="K469" s="23" t="s">
        <v>23</v>
      </c>
      <c r="L469" s="2" t="str">
        <f>VLOOKUP(Tabla3[[#This Row],[PROVEEDOR]],'SAPROV (2)'!A:B,2,FALSE)</f>
        <v>04</v>
      </c>
      <c r="M469" t="str">
        <f>VLOOKUP(Tabla3[[#This Row],[SERVICIO]],'SAPROV (2)'!I:J,2,FALSE)</f>
        <v>SERV0060</v>
      </c>
      <c r="N469" t="s">
        <v>611</v>
      </c>
      <c r="P469">
        <f>VLOOKUP(Tabla3[[#This Row],[FECHA]],TASA[],2,FALSE)</f>
        <v>344.51</v>
      </c>
      <c r="Q469" s="4">
        <f t="shared" ref="Q469:Q480" si="65">D469/P469</f>
        <v>-7.2566834054163891</v>
      </c>
      <c r="R469" t="s">
        <v>1253</v>
      </c>
    </row>
    <row r="470" spans="1:18" x14ac:dyDescent="0.25">
      <c r="A470" s="33">
        <v>46041</v>
      </c>
      <c r="B470" s="1">
        <v>676274019001</v>
      </c>
      <c r="C470" s="2" t="s">
        <v>1251</v>
      </c>
      <c r="D470" s="34">
        <v>-2500</v>
      </c>
      <c r="E470" t="s">
        <v>20</v>
      </c>
      <c r="F470" s="2" t="e">
        <f>VLOOKUP(Tabla3[[#This Row],[CONTABLE]],'SAPROV (2)'!L:M,2,FALSE)</f>
        <v>#N/A</v>
      </c>
      <c r="H470" t="s">
        <v>588</v>
      </c>
      <c r="I470" s="2" t="str">
        <f>VLOOKUP(Tabla3[[#This Row],[Deposito]],'SAPROV (2)'!D:E,2,FALSE)</f>
        <v>A01</v>
      </c>
      <c r="K470" s="23" t="s">
        <v>23</v>
      </c>
      <c r="L470" s="23" t="str">
        <f>VLOOKUP(Tabla3[[#This Row],[PROVEEDOR]],'SAPROV (2)'!A:B,2,FALSE)</f>
        <v>04</v>
      </c>
      <c r="M470" t="str">
        <f>VLOOKUP(Tabla3[[#This Row],[SERVICIO]],'SAPROV (2)'!I:J,2,FALSE)</f>
        <v>SERV0060</v>
      </c>
      <c r="N470" t="s">
        <v>611</v>
      </c>
      <c r="P470">
        <f>VLOOKUP(Tabla3[[#This Row],[FECHA]],TASA[],2,FALSE)</f>
        <v>344.51</v>
      </c>
      <c r="Q470" s="4">
        <f t="shared" si="65"/>
        <v>-7.2566834054163891</v>
      </c>
      <c r="R470" t="s">
        <v>1253</v>
      </c>
    </row>
    <row r="471" spans="1:18" x14ac:dyDescent="0.25">
      <c r="A471" s="33">
        <v>46041</v>
      </c>
      <c r="B471" s="1">
        <v>676274034001</v>
      </c>
      <c r="C471" s="2" t="s">
        <v>1251</v>
      </c>
      <c r="D471" s="34">
        <v>-2500</v>
      </c>
      <c r="E471" t="s">
        <v>20</v>
      </c>
      <c r="F471" s="2" t="e">
        <f>VLOOKUP(Tabla3[[#This Row],[CONTABLE]],'SAPROV (2)'!L:M,2,FALSE)</f>
        <v>#N/A</v>
      </c>
      <c r="H471" t="s">
        <v>588</v>
      </c>
      <c r="I471" s="2" t="str">
        <f>VLOOKUP(Tabla3[[#This Row],[Deposito]],'SAPROV (2)'!D:E,2,FALSE)</f>
        <v>A01</v>
      </c>
      <c r="K471" s="23" t="s">
        <v>23</v>
      </c>
      <c r="L471" s="23" t="str">
        <f>VLOOKUP(Tabla3[[#This Row],[PROVEEDOR]],'SAPROV (2)'!A:B,2,FALSE)</f>
        <v>04</v>
      </c>
      <c r="M471" t="str">
        <f>VLOOKUP(Tabla3[[#This Row],[SERVICIO]],'SAPROV (2)'!I:J,2,FALSE)</f>
        <v>SERV0060</v>
      </c>
      <c r="N471" t="s">
        <v>611</v>
      </c>
      <c r="P471">
        <f>VLOOKUP(Tabla3[[#This Row],[FECHA]],TASA[],2,FALSE)</f>
        <v>344.51</v>
      </c>
      <c r="Q471" s="4">
        <f t="shared" si="65"/>
        <v>-7.2566834054163891</v>
      </c>
      <c r="R471" t="s">
        <v>1253</v>
      </c>
    </row>
    <row r="472" spans="1:18" x14ac:dyDescent="0.25">
      <c r="A472" s="33">
        <v>46041</v>
      </c>
      <c r="B472" s="1">
        <v>676274026001</v>
      </c>
      <c r="C472" s="2" t="s">
        <v>1251</v>
      </c>
      <c r="D472" s="34">
        <v>-2500</v>
      </c>
      <c r="E472" t="s">
        <v>20</v>
      </c>
      <c r="F472" s="2" t="e">
        <f>VLOOKUP(Tabla3[[#This Row],[CONTABLE]],'SAPROV (2)'!L:M,2,FALSE)</f>
        <v>#N/A</v>
      </c>
      <c r="H472" t="s">
        <v>588</v>
      </c>
      <c r="I472" s="2" t="str">
        <f>VLOOKUP(Tabla3[[#This Row],[Deposito]],'SAPROV (2)'!D:E,2,FALSE)</f>
        <v>A01</v>
      </c>
      <c r="K472" s="23" t="s">
        <v>23</v>
      </c>
      <c r="L472" s="2" t="str">
        <f>VLOOKUP(Tabla3[[#This Row],[PROVEEDOR]],'SAPROV (2)'!A:B,2,FALSE)</f>
        <v>04</v>
      </c>
      <c r="M472" t="str">
        <f>VLOOKUP(Tabla3[[#This Row],[SERVICIO]],'SAPROV (2)'!I:J,2,FALSE)</f>
        <v>SERV0060</v>
      </c>
      <c r="N472" t="s">
        <v>611</v>
      </c>
      <c r="P472">
        <f>VLOOKUP(Tabla3[[#This Row],[FECHA]],TASA[],2,FALSE)</f>
        <v>344.51</v>
      </c>
      <c r="Q472" s="4">
        <f t="shared" si="65"/>
        <v>-7.2566834054163891</v>
      </c>
      <c r="R472" t="s">
        <v>1253</v>
      </c>
    </row>
    <row r="473" spans="1:18" x14ac:dyDescent="0.25">
      <c r="A473" s="33">
        <v>46041</v>
      </c>
      <c r="B473" s="1">
        <v>676274027001</v>
      </c>
      <c r="C473" s="2" t="s">
        <v>1251</v>
      </c>
      <c r="D473" s="34">
        <v>-2500</v>
      </c>
      <c r="E473" t="s">
        <v>20</v>
      </c>
      <c r="F473" s="2" t="e">
        <f>VLOOKUP(Tabla3[[#This Row],[CONTABLE]],'SAPROV (2)'!L:M,2,FALSE)</f>
        <v>#N/A</v>
      </c>
      <c r="H473" t="s">
        <v>588</v>
      </c>
      <c r="I473" s="2" t="str">
        <f>VLOOKUP(Tabla3[[#This Row],[Deposito]],'SAPROV (2)'!D:E,2,FALSE)</f>
        <v>A01</v>
      </c>
      <c r="K473" s="23" t="s">
        <v>23</v>
      </c>
      <c r="L473" s="23" t="str">
        <f>VLOOKUP(Tabla3[[#This Row],[PROVEEDOR]],'SAPROV (2)'!A:B,2,FALSE)</f>
        <v>04</v>
      </c>
      <c r="M473" t="str">
        <f>VLOOKUP(Tabla3[[#This Row],[SERVICIO]],'SAPROV (2)'!I:J,2,FALSE)</f>
        <v>SERV0060</v>
      </c>
      <c r="N473" t="s">
        <v>611</v>
      </c>
      <c r="P473">
        <f>VLOOKUP(Tabla3[[#This Row],[FECHA]],TASA[],2,FALSE)</f>
        <v>344.51</v>
      </c>
      <c r="Q473" s="4">
        <f t="shared" si="65"/>
        <v>-7.2566834054163891</v>
      </c>
      <c r="R473" t="s">
        <v>1253</v>
      </c>
    </row>
    <row r="474" spans="1:18" x14ac:dyDescent="0.25">
      <c r="A474" s="33">
        <v>46041</v>
      </c>
      <c r="B474" s="1">
        <v>676274029001</v>
      </c>
      <c r="C474" s="2" t="s">
        <v>1251</v>
      </c>
      <c r="D474" s="34">
        <v>-2500</v>
      </c>
      <c r="E474" t="s">
        <v>20</v>
      </c>
      <c r="F474" s="2" t="e">
        <f>VLOOKUP(Tabla3[[#This Row],[CONTABLE]],'SAPROV (2)'!L:M,2,FALSE)</f>
        <v>#N/A</v>
      </c>
      <c r="H474" t="s">
        <v>588</v>
      </c>
      <c r="I474" s="2" t="str">
        <f>VLOOKUP(Tabla3[[#This Row],[Deposito]],'SAPROV (2)'!D:E,2,FALSE)</f>
        <v>A01</v>
      </c>
      <c r="K474" s="23" t="s">
        <v>23</v>
      </c>
      <c r="L474" s="23" t="str">
        <f>VLOOKUP(Tabla3[[#This Row],[PROVEEDOR]],'SAPROV (2)'!A:B,2,FALSE)</f>
        <v>04</v>
      </c>
      <c r="M474" t="str">
        <f>VLOOKUP(Tabla3[[#This Row],[SERVICIO]],'SAPROV (2)'!I:J,2,FALSE)</f>
        <v>SERV0060</v>
      </c>
      <c r="N474" t="s">
        <v>611</v>
      </c>
      <c r="P474">
        <f>VLOOKUP(Tabla3[[#This Row],[FECHA]],TASA[],2,FALSE)</f>
        <v>344.51</v>
      </c>
      <c r="Q474" s="4">
        <f t="shared" si="65"/>
        <v>-7.2566834054163891</v>
      </c>
      <c r="R474" t="s">
        <v>1253</v>
      </c>
    </row>
    <row r="475" spans="1:18" x14ac:dyDescent="0.25">
      <c r="A475" s="33">
        <v>46041</v>
      </c>
      <c r="B475" s="1">
        <v>676274030001</v>
      </c>
      <c r="C475" s="2" t="s">
        <v>1251</v>
      </c>
      <c r="D475" s="34">
        <v>-2500</v>
      </c>
      <c r="E475" t="s">
        <v>20</v>
      </c>
      <c r="F475" s="2" t="e">
        <f>VLOOKUP(Tabla3[[#This Row],[CONTABLE]],'SAPROV (2)'!L:M,2,FALSE)</f>
        <v>#N/A</v>
      </c>
      <c r="H475" t="s">
        <v>588</v>
      </c>
      <c r="I475" s="2" t="str">
        <f>VLOOKUP(Tabla3[[#This Row],[Deposito]],'SAPROV (2)'!D:E,2,FALSE)</f>
        <v>A01</v>
      </c>
      <c r="K475" s="23" t="s">
        <v>23</v>
      </c>
      <c r="L475" s="2" t="str">
        <f>VLOOKUP(Tabla3[[#This Row],[PROVEEDOR]],'SAPROV (2)'!A:B,2,FALSE)</f>
        <v>04</v>
      </c>
      <c r="M475" t="str">
        <f>VLOOKUP(Tabla3[[#This Row],[SERVICIO]],'SAPROV (2)'!I:J,2,FALSE)</f>
        <v>SERV0060</v>
      </c>
      <c r="N475" t="s">
        <v>611</v>
      </c>
      <c r="P475">
        <f>VLOOKUP(Tabla3[[#This Row],[FECHA]],TASA[],2,FALSE)</f>
        <v>344.51</v>
      </c>
      <c r="Q475" s="4">
        <f t="shared" si="65"/>
        <v>-7.2566834054163891</v>
      </c>
      <c r="R475" t="s">
        <v>1253</v>
      </c>
    </row>
    <row r="476" spans="1:18" x14ac:dyDescent="0.25">
      <c r="A476" s="33">
        <v>46041</v>
      </c>
      <c r="B476" s="1">
        <v>676274023001</v>
      </c>
      <c r="C476" s="2" t="s">
        <v>1251</v>
      </c>
      <c r="D476" s="34">
        <v>-2500</v>
      </c>
      <c r="E476" t="s">
        <v>20</v>
      </c>
      <c r="F476" s="2" t="e">
        <f>VLOOKUP(Tabla3[[#This Row],[CONTABLE]],'SAPROV (2)'!L:M,2,FALSE)</f>
        <v>#N/A</v>
      </c>
      <c r="H476" t="s">
        <v>588</v>
      </c>
      <c r="I476" s="2" t="str">
        <f>VLOOKUP(Tabla3[[#This Row],[Deposito]],'SAPROV (2)'!D:E,2,FALSE)</f>
        <v>A01</v>
      </c>
      <c r="K476" s="23" t="s">
        <v>23</v>
      </c>
      <c r="L476" s="23" t="str">
        <f>VLOOKUP(Tabla3[[#This Row],[PROVEEDOR]],'SAPROV (2)'!A:B,2,FALSE)</f>
        <v>04</v>
      </c>
      <c r="M476" t="str">
        <f>VLOOKUP(Tabla3[[#This Row],[SERVICIO]],'SAPROV (2)'!I:J,2,FALSE)</f>
        <v>SERV0060</v>
      </c>
      <c r="N476" t="s">
        <v>611</v>
      </c>
      <c r="P476">
        <f>VLOOKUP(Tabla3[[#This Row],[FECHA]],TASA[],2,FALSE)</f>
        <v>344.51</v>
      </c>
      <c r="Q476" s="4">
        <f t="shared" si="65"/>
        <v>-7.2566834054163891</v>
      </c>
      <c r="R476" t="s">
        <v>1253</v>
      </c>
    </row>
    <row r="477" spans="1:18" x14ac:dyDescent="0.25">
      <c r="A477" s="33">
        <v>46041</v>
      </c>
      <c r="B477" s="1">
        <v>676274893006</v>
      </c>
      <c r="C477" s="2" t="s">
        <v>1251</v>
      </c>
      <c r="D477" s="34">
        <v>-254.07</v>
      </c>
      <c r="E477" t="s">
        <v>20</v>
      </c>
      <c r="F477" s="2" t="e">
        <f>VLOOKUP(Tabla3[[#This Row],[CONTABLE]],'SAPROV (2)'!L:M,2,FALSE)</f>
        <v>#N/A</v>
      </c>
      <c r="H477" t="s">
        <v>588</v>
      </c>
      <c r="I477" s="2" t="str">
        <f>VLOOKUP(Tabla3[[#This Row],[Deposito]],'SAPROV (2)'!D:E,2,FALSE)</f>
        <v>A01</v>
      </c>
      <c r="K477" s="23" t="s">
        <v>23</v>
      </c>
      <c r="L477" s="23" t="str">
        <f>VLOOKUP(Tabla3[[#This Row],[PROVEEDOR]],'SAPROV (2)'!A:B,2,FALSE)</f>
        <v>04</v>
      </c>
      <c r="M477" t="str">
        <f>VLOOKUP(Tabla3[[#This Row],[SERVICIO]],'SAPROV (2)'!I:J,2,FALSE)</f>
        <v>SERV0060</v>
      </c>
      <c r="N477" t="s">
        <v>611</v>
      </c>
      <c r="P477">
        <f>VLOOKUP(Tabla3[[#This Row],[FECHA]],TASA[],2,FALSE)</f>
        <v>344.51</v>
      </c>
      <c r="Q477" s="4">
        <f t="shared" si="65"/>
        <v>-0.73748222112565676</v>
      </c>
      <c r="R477" t="s">
        <v>1253</v>
      </c>
    </row>
    <row r="478" spans="1:18" x14ac:dyDescent="0.25">
      <c r="A478" s="33">
        <v>46041</v>
      </c>
      <c r="B478" s="1">
        <v>676274894007</v>
      </c>
      <c r="C478" s="2" t="s">
        <v>1251</v>
      </c>
      <c r="D478" s="34">
        <v>-245.46</v>
      </c>
      <c r="E478" t="s">
        <v>20</v>
      </c>
      <c r="F478" s="2" t="e">
        <f>VLOOKUP(Tabla3[[#This Row],[CONTABLE]],'SAPROV (2)'!L:M,2,FALSE)</f>
        <v>#N/A</v>
      </c>
      <c r="H478" t="s">
        <v>588</v>
      </c>
      <c r="I478" s="2" t="str">
        <f>VLOOKUP(Tabla3[[#This Row],[Deposito]],'SAPROV (2)'!D:E,2,FALSE)</f>
        <v>A01</v>
      </c>
      <c r="K478" s="23" t="s">
        <v>23</v>
      </c>
      <c r="L478" s="2" t="str">
        <f>VLOOKUP(Tabla3[[#This Row],[PROVEEDOR]],'SAPROV (2)'!A:B,2,FALSE)</f>
        <v>04</v>
      </c>
      <c r="M478" t="str">
        <f>VLOOKUP(Tabla3[[#This Row],[SERVICIO]],'SAPROV (2)'!I:J,2,FALSE)</f>
        <v>SERV0060</v>
      </c>
      <c r="N478" t="s">
        <v>611</v>
      </c>
      <c r="P478">
        <f>VLOOKUP(Tabla3[[#This Row],[FECHA]],TASA[],2,FALSE)</f>
        <v>344.51</v>
      </c>
      <c r="Q478" s="4">
        <f t="shared" si="65"/>
        <v>-0.71249020347740277</v>
      </c>
      <c r="R478" t="s">
        <v>1253</v>
      </c>
    </row>
    <row r="479" spans="1:18" x14ac:dyDescent="0.25">
      <c r="A479" s="33">
        <v>46041</v>
      </c>
      <c r="B479" s="1">
        <v>676274890003</v>
      </c>
      <c r="C479" s="2" t="s">
        <v>1251</v>
      </c>
      <c r="D479" s="34">
        <v>-52.07</v>
      </c>
      <c r="E479" t="s">
        <v>20</v>
      </c>
      <c r="F479" s="2" t="e">
        <f>VLOOKUP(Tabla3[[#This Row],[CONTABLE]],'SAPROV (2)'!L:M,2,FALSE)</f>
        <v>#N/A</v>
      </c>
      <c r="H479" t="s">
        <v>588</v>
      </c>
      <c r="I479" s="2" t="str">
        <f>VLOOKUP(Tabla3[[#This Row],[Deposito]],'SAPROV (2)'!D:E,2,FALSE)</f>
        <v>A01</v>
      </c>
      <c r="K479" s="23" t="s">
        <v>23</v>
      </c>
      <c r="L479" s="23" t="str">
        <f>VLOOKUP(Tabla3[[#This Row],[PROVEEDOR]],'SAPROV (2)'!A:B,2,FALSE)</f>
        <v>04</v>
      </c>
      <c r="M479" t="str">
        <f>VLOOKUP(Tabla3[[#This Row],[SERVICIO]],'SAPROV (2)'!I:J,2,FALSE)</f>
        <v>SERV0060</v>
      </c>
      <c r="N479" t="s">
        <v>611</v>
      </c>
      <c r="P479">
        <f>VLOOKUP(Tabla3[[#This Row],[FECHA]],TASA[],2,FALSE)</f>
        <v>344.51</v>
      </c>
      <c r="Q479" s="4">
        <f t="shared" si="65"/>
        <v>-0.15114220196801254</v>
      </c>
      <c r="R479" t="s">
        <v>1253</v>
      </c>
    </row>
    <row r="480" spans="1:18" x14ac:dyDescent="0.25">
      <c r="A480" s="33">
        <v>46041</v>
      </c>
      <c r="B480" s="1">
        <v>676274896009</v>
      </c>
      <c r="C480" s="2" t="s">
        <v>1251</v>
      </c>
      <c r="D480" s="34">
        <v>-245.46</v>
      </c>
      <c r="E480" t="s">
        <v>20</v>
      </c>
      <c r="F480" s="2" t="e">
        <f>VLOOKUP(Tabla3[[#This Row],[CONTABLE]],'SAPROV (2)'!L:M,2,FALSE)</f>
        <v>#N/A</v>
      </c>
      <c r="H480" t="s">
        <v>588</v>
      </c>
      <c r="I480" s="2" t="str">
        <f>VLOOKUP(Tabla3[[#This Row],[Deposito]],'SAPROV (2)'!D:E,2,FALSE)</f>
        <v>A01</v>
      </c>
      <c r="K480" s="23" t="s">
        <v>23</v>
      </c>
      <c r="L480" s="23" t="str">
        <f>VLOOKUP(Tabla3[[#This Row],[PROVEEDOR]],'SAPROV (2)'!A:B,2,FALSE)</f>
        <v>04</v>
      </c>
      <c r="M480" t="str">
        <f>VLOOKUP(Tabla3[[#This Row],[SERVICIO]],'SAPROV (2)'!I:J,2,FALSE)</f>
        <v>SERV0060</v>
      </c>
      <c r="N480" t="s">
        <v>611</v>
      </c>
      <c r="P480">
        <f>VLOOKUP(Tabla3[[#This Row],[FECHA]],TASA[],2,FALSE)</f>
        <v>344.51</v>
      </c>
      <c r="Q480" s="4">
        <f t="shared" si="65"/>
        <v>-0.71249020347740277</v>
      </c>
      <c r="R480" t="s">
        <v>1253</v>
      </c>
    </row>
    <row r="481" spans="1:18" x14ac:dyDescent="0.25">
      <c r="A481" s="33">
        <v>46041</v>
      </c>
      <c r="B481" s="1">
        <v>676274895008</v>
      </c>
      <c r="C481" s="2" t="s">
        <v>1251</v>
      </c>
      <c r="D481" s="34">
        <v>-501.59</v>
      </c>
      <c r="E481" t="s">
        <v>20</v>
      </c>
      <c r="F481" s="2" t="e">
        <f>VLOOKUP(Tabla3[[#This Row],[CONTABLE]],'SAPROV (2)'!L:M,2,FALSE)</f>
        <v>#N/A</v>
      </c>
      <c r="H481" t="s">
        <v>588</v>
      </c>
      <c r="I481" s="2" t="str">
        <f>VLOOKUP(Tabla3[[#This Row],[Deposito]],'SAPROV (2)'!D:E,2,FALSE)</f>
        <v>A01</v>
      </c>
      <c r="K481" s="23" t="s">
        <v>23</v>
      </c>
      <c r="L481" s="2" t="str">
        <f>VLOOKUP(Tabla3[[#This Row],[PROVEEDOR]],'SAPROV (2)'!A:B,2,FALSE)</f>
        <v>04</v>
      </c>
      <c r="M481" t="str">
        <f>VLOOKUP(Tabla3[[#This Row],[SERVICIO]],'SAPROV (2)'!I:J,2,FALSE)</f>
        <v>SERV0060</v>
      </c>
      <c r="N481" t="s">
        <v>611</v>
      </c>
      <c r="P481">
        <f>VLOOKUP(Tabla3[[#This Row],[FECHA]],TASA[],2,FALSE)</f>
        <v>344.51</v>
      </c>
      <c r="Q481" s="4">
        <f t="shared" ref="Q481:Q483" si="66">D481/P481</f>
        <v>-1.4559519317291225</v>
      </c>
      <c r="R481" t="s">
        <v>1253</v>
      </c>
    </row>
    <row r="482" spans="1:18" x14ac:dyDescent="0.25">
      <c r="A482" s="33">
        <v>46041</v>
      </c>
      <c r="B482" s="1">
        <v>676275172001</v>
      </c>
      <c r="C482" s="2" t="s">
        <v>1251</v>
      </c>
      <c r="D482" s="34">
        <v>-2500</v>
      </c>
      <c r="E482" t="s">
        <v>20</v>
      </c>
      <c r="F482" s="2" t="e">
        <f>VLOOKUP(Tabla3[[#This Row],[CONTABLE]],'SAPROV (2)'!L:M,2,FALSE)</f>
        <v>#N/A</v>
      </c>
      <c r="H482" t="s">
        <v>588</v>
      </c>
      <c r="I482" s="2" t="str">
        <f>VLOOKUP(Tabla3[[#This Row],[Deposito]],'SAPROV (2)'!D:E,2,FALSE)</f>
        <v>A01</v>
      </c>
      <c r="K482" s="23" t="s">
        <v>23</v>
      </c>
      <c r="L482" s="23" t="str">
        <f>VLOOKUP(Tabla3[[#This Row],[PROVEEDOR]],'SAPROV (2)'!A:B,2,FALSE)</f>
        <v>04</v>
      </c>
      <c r="M482" t="str">
        <f>VLOOKUP(Tabla3[[#This Row],[SERVICIO]],'SAPROV (2)'!I:J,2,FALSE)</f>
        <v>SERV0060</v>
      </c>
      <c r="N482" t="s">
        <v>611</v>
      </c>
      <c r="P482">
        <f>VLOOKUP(Tabla3[[#This Row],[FECHA]],TASA[],2,FALSE)</f>
        <v>344.51</v>
      </c>
      <c r="Q482" s="4">
        <f t="shared" si="66"/>
        <v>-7.2566834054163891</v>
      </c>
      <c r="R482" t="s">
        <v>1253</v>
      </c>
    </row>
    <row r="483" spans="1:18" x14ac:dyDescent="0.25">
      <c r="A483" s="33">
        <v>46041</v>
      </c>
      <c r="B483" s="1">
        <v>676275179001</v>
      </c>
      <c r="C483" s="2" t="s">
        <v>1251</v>
      </c>
      <c r="D483" s="34">
        <v>-2500</v>
      </c>
      <c r="E483" t="s">
        <v>20</v>
      </c>
      <c r="F483" s="2" t="e">
        <f>VLOOKUP(Tabla3[[#This Row],[CONTABLE]],'SAPROV (2)'!L:M,2,FALSE)</f>
        <v>#N/A</v>
      </c>
      <c r="H483" t="s">
        <v>588</v>
      </c>
      <c r="I483" s="2" t="str">
        <f>VLOOKUP(Tabla3[[#This Row],[Deposito]],'SAPROV (2)'!D:E,2,FALSE)</f>
        <v>A01</v>
      </c>
      <c r="K483" s="23" t="s">
        <v>23</v>
      </c>
      <c r="L483" s="23" t="str">
        <f>VLOOKUP(Tabla3[[#This Row],[PROVEEDOR]],'SAPROV (2)'!A:B,2,FALSE)</f>
        <v>04</v>
      </c>
      <c r="M483" t="str">
        <f>VLOOKUP(Tabla3[[#This Row],[SERVICIO]],'SAPROV (2)'!I:J,2,FALSE)</f>
        <v>SERV0060</v>
      </c>
      <c r="N483" t="s">
        <v>611</v>
      </c>
      <c r="P483">
        <f>VLOOKUP(Tabla3[[#This Row],[FECHA]],TASA[],2,FALSE)</f>
        <v>344.51</v>
      </c>
      <c r="Q483" s="4">
        <f t="shared" si="66"/>
        <v>-7.2566834054163891</v>
      </c>
      <c r="R483" t="s">
        <v>1253</v>
      </c>
    </row>
    <row r="484" spans="1:18" x14ac:dyDescent="0.25">
      <c r="A484" s="33">
        <v>46041</v>
      </c>
      <c r="B484" s="1">
        <v>676275174001</v>
      </c>
      <c r="C484" s="2" t="s">
        <v>1251</v>
      </c>
      <c r="D484" s="34">
        <v>-2500</v>
      </c>
      <c r="E484" t="s">
        <v>20</v>
      </c>
      <c r="F484" s="2" t="e">
        <f>VLOOKUP(Tabla3[[#This Row],[CONTABLE]],'SAPROV (2)'!L:M,2,FALSE)</f>
        <v>#N/A</v>
      </c>
      <c r="H484" t="s">
        <v>588</v>
      </c>
      <c r="I484" s="2" t="str">
        <f>VLOOKUP(Tabla3[[#This Row],[Deposito]],'SAPROV (2)'!D:E,2,FALSE)</f>
        <v>A01</v>
      </c>
      <c r="K484" s="23" t="s">
        <v>23</v>
      </c>
      <c r="L484" s="2" t="str">
        <f>VLOOKUP(Tabla3[[#This Row],[PROVEEDOR]],'SAPROV (2)'!A:B,2,FALSE)</f>
        <v>04</v>
      </c>
      <c r="M484" t="str">
        <f>VLOOKUP(Tabla3[[#This Row],[SERVICIO]],'SAPROV (2)'!I:J,2,FALSE)</f>
        <v>SERV0060</v>
      </c>
      <c r="N484" t="s">
        <v>611</v>
      </c>
      <c r="P484">
        <f>VLOOKUP(Tabla3[[#This Row],[FECHA]],TASA[],2,FALSE)</f>
        <v>344.51</v>
      </c>
      <c r="Q484" s="4">
        <f t="shared" ref="Q484:Q485" si="67">D484/P484</f>
        <v>-7.2566834054163891</v>
      </c>
      <c r="R484" t="s">
        <v>1253</v>
      </c>
    </row>
    <row r="485" spans="1:18" x14ac:dyDescent="0.25">
      <c r="A485" s="33">
        <v>46041</v>
      </c>
      <c r="B485" s="1">
        <v>676275185001</v>
      </c>
      <c r="C485" s="2" t="s">
        <v>1251</v>
      </c>
      <c r="D485" s="34">
        <v>-2500</v>
      </c>
      <c r="E485" t="s">
        <v>20</v>
      </c>
      <c r="F485" s="2" t="e">
        <f>VLOOKUP(Tabla3[[#This Row],[CONTABLE]],'SAPROV (2)'!L:M,2,FALSE)</f>
        <v>#N/A</v>
      </c>
      <c r="H485" t="s">
        <v>588</v>
      </c>
      <c r="I485" s="2" t="str">
        <f>VLOOKUP(Tabla3[[#This Row],[Deposito]],'SAPROV (2)'!D:E,2,FALSE)</f>
        <v>A01</v>
      </c>
      <c r="K485" s="23" t="s">
        <v>23</v>
      </c>
      <c r="L485" s="23" t="str">
        <f>VLOOKUP(Tabla3[[#This Row],[PROVEEDOR]],'SAPROV (2)'!A:B,2,FALSE)</f>
        <v>04</v>
      </c>
      <c r="M485" t="str">
        <f>VLOOKUP(Tabla3[[#This Row],[SERVICIO]],'SAPROV (2)'!I:J,2,FALSE)</f>
        <v>SERV0060</v>
      </c>
      <c r="N485" t="s">
        <v>611</v>
      </c>
      <c r="P485">
        <f>VLOOKUP(Tabla3[[#This Row],[FECHA]],TASA[],2,FALSE)</f>
        <v>344.51</v>
      </c>
      <c r="Q485" s="4">
        <f t="shared" si="67"/>
        <v>-7.2566834054163891</v>
      </c>
      <c r="R485" t="s">
        <v>1253</v>
      </c>
    </row>
    <row r="486" spans="1:18" x14ac:dyDescent="0.25">
      <c r="A486" s="33">
        <v>46041</v>
      </c>
      <c r="B486" s="1">
        <v>676275177001</v>
      </c>
      <c r="C486" s="2" t="s">
        <v>1251</v>
      </c>
      <c r="D486" s="34">
        <v>-2500</v>
      </c>
      <c r="E486" t="s">
        <v>20</v>
      </c>
      <c r="F486" s="2" t="e">
        <f>VLOOKUP(Tabla3[[#This Row],[CONTABLE]],'SAPROV (2)'!L:M,2,FALSE)</f>
        <v>#N/A</v>
      </c>
      <c r="H486" t="s">
        <v>588</v>
      </c>
      <c r="I486" s="2" t="str">
        <f>VLOOKUP(Tabla3[[#This Row],[Deposito]],'SAPROV (2)'!D:E,2,FALSE)</f>
        <v>A01</v>
      </c>
      <c r="K486" s="23" t="s">
        <v>23</v>
      </c>
      <c r="L486" s="23" t="str">
        <f>VLOOKUP(Tabla3[[#This Row],[PROVEEDOR]],'SAPROV (2)'!A:B,2,FALSE)</f>
        <v>04</v>
      </c>
      <c r="M486" t="str">
        <f>VLOOKUP(Tabla3[[#This Row],[SERVICIO]],'SAPROV (2)'!I:J,2,FALSE)</f>
        <v>SERV0060</v>
      </c>
      <c r="N486" t="s">
        <v>611</v>
      </c>
      <c r="P486">
        <f>VLOOKUP(Tabla3[[#This Row],[FECHA]],TASA[],2,FALSE)</f>
        <v>344.51</v>
      </c>
      <c r="Q486" s="4">
        <f t="shared" ref="Q486:Q498" si="68">D486/P486</f>
        <v>-7.2566834054163891</v>
      </c>
      <c r="R486" t="s">
        <v>1253</v>
      </c>
    </row>
    <row r="487" spans="1:18" x14ac:dyDescent="0.25">
      <c r="A487" s="33">
        <v>46041</v>
      </c>
      <c r="B487" s="1">
        <v>676275183001</v>
      </c>
      <c r="C487" s="2" t="s">
        <v>1251</v>
      </c>
      <c r="D487" s="34">
        <v>-2500</v>
      </c>
      <c r="E487" t="s">
        <v>20</v>
      </c>
      <c r="F487" s="2" t="e">
        <f>VLOOKUP(Tabla3[[#This Row],[CONTABLE]],'SAPROV (2)'!L:M,2,FALSE)</f>
        <v>#N/A</v>
      </c>
      <c r="H487" t="s">
        <v>588</v>
      </c>
      <c r="I487" s="2" t="str">
        <f>VLOOKUP(Tabla3[[#This Row],[Deposito]],'SAPROV (2)'!D:E,2,FALSE)</f>
        <v>A01</v>
      </c>
      <c r="K487" s="23" t="s">
        <v>23</v>
      </c>
      <c r="L487" s="2" t="str">
        <f>VLOOKUP(Tabla3[[#This Row],[PROVEEDOR]],'SAPROV (2)'!A:B,2,FALSE)</f>
        <v>04</v>
      </c>
      <c r="M487" t="str">
        <f>VLOOKUP(Tabla3[[#This Row],[SERVICIO]],'SAPROV (2)'!I:J,2,FALSE)</f>
        <v>SERV0060</v>
      </c>
      <c r="N487" t="s">
        <v>611</v>
      </c>
      <c r="P487">
        <f>VLOOKUP(Tabla3[[#This Row],[FECHA]],TASA[],2,FALSE)</f>
        <v>344.51</v>
      </c>
      <c r="Q487" s="4">
        <f t="shared" si="68"/>
        <v>-7.2566834054163891</v>
      </c>
      <c r="R487" t="s">
        <v>1253</v>
      </c>
    </row>
    <row r="488" spans="1:18" x14ac:dyDescent="0.25">
      <c r="A488" s="33">
        <v>46041</v>
      </c>
      <c r="B488" s="1">
        <v>676274889002</v>
      </c>
      <c r="C488" s="2" t="s">
        <v>1251</v>
      </c>
      <c r="D488" s="34">
        <v>-85.91</v>
      </c>
      <c r="E488" t="s">
        <v>20</v>
      </c>
      <c r="F488" s="2" t="e">
        <f>VLOOKUP(Tabla3[[#This Row],[CONTABLE]],'SAPROV (2)'!L:M,2,FALSE)</f>
        <v>#N/A</v>
      </c>
      <c r="H488" t="s">
        <v>588</v>
      </c>
      <c r="I488" s="2" t="str">
        <f>VLOOKUP(Tabla3[[#This Row],[Deposito]],'SAPROV (2)'!D:E,2,FALSE)</f>
        <v>A01</v>
      </c>
      <c r="K488" s="23" t="s">
        <v>23</v>
      </c>
      <c r="L488" s="23" t="str">
        <f>VLOOKUP(Tabla3[[#This Row],[PROVEEDOR]],'SAPROV (2)'!A:B,2,FALSE)</f>
        <v>04</v>
      </c>
      <c r="M488" t="str">
        <f>VLOOKUP(Tabla3[[#This Row],[SERVICIO]],'SAPROV (2)'!I:J,2,FALSE)</f>
        <v>SERV0060</v>
      </c>
      <c r="N488" t="s">
        <v>611</v>
      </c>
      <c r="P488">
        <f>VLOOKUP(Tabla3[[#This Row],[FECHA]],TASA[],2,FALSE)</f>
        <v>344.51</v>
      </c>
      <c r="Q488" s="4">
        <f t="shared" si="68"/>
        <v>-0.24936866854372877</v>
      </c>
      <c r="R488" t="s">
        <v>1253</v>
      </c>
    </row>
    <row r="489" spans="1:18" x14ac:dyDescent="0.25">
      <c r="A489" s="33">
        <v>46041</v>
      </c>
      <c r="B489" s="1">
        <v>676274891004</v>
      </c>
      <c r="C489" s="2" t="s">
        <v>1251</v>
      </c>
      <c r="D489" s="34">
        <v>-172.26</v>
      </c>
      <c r="E489" t="s">
        <v>20</v>
      </c>
      <c r="F489" s="2" t="e">
        <f>VLOOKUP(Tabla3[[#This Row],[CONTABLE]],'SAPROV (2)'!L:M,2,FALSE)</f>
        <v>#N/A</v>
      </c>
      <c r="H489" t="s">
        <v>588</v>
      </c>
      <c r="I489" s="2" t="str">
        <f>VLOOKUP(Tabla3[[#This Row],[Deposito]],'SAPROV (2)'!D:E,2,FALSE)</f>
        <v>A01</v>
      </c>
      <c r="K489" s="23" t="s">
        <v>23</v>
      </c>
      <c r="L489" s="23" t="str">
        <f>VLOOKUP(Tabla3[[#This Row],[PROVEEDOR]],'SAPROV (2)'!A:B,2,FALSE)</f>
        <v>04</v>
      </c>
      <c r="M489" t="str">
        <f>VLOOKUP(Tabla3[[#This Row],[SERVICIO]],'SAPROV (2)'!I:J,2,FALSE)</f>
        <v>SERV0060</v>
      </c>
      <c r="N489" t="s">
        <v>611</v>
      </c>
      <c r="P489">
        <f>VLOOKUP(Tabla3[[#This Row],[FECHA]],TASA[],2,FALSE)</f>
        <v>344.51</v>
      </c>
      <c r="Q489" s="4">
        <f t="shared" si="68"/>
        <v>-0.5000145133668108</v>
      </c>
      <c r="R489" t="s">
        <v>1253</v>
      </c>
    </row>
    <row r="490" spans="1:18" x14ac:dyDescent="0.25">
      <c r="A490" s="33">
        <v>46041</v>
      </c>
      <c r="B490" s="1">
        <v>676275184001</v>
      </c>
      <c r="C490" s="2" t="s">
        <v>1251</v>
      </c>
      <c r="D490" s="34">
        <v>-2500</v>
      </c>
      <c r="E490" t="s">
        <v>20</v>
      </c>
      <c r="F490" s="2" t="e">
        <f>VLOOKUP(Tabla3[[#This Row],[CONTABLE]],'SAPROV (2)'!L:M,2,FALSE)</f>
        <v>#N/A</v>
      </c>
      <c r="H490" t="s">
        <v>588</v>
      </c>
      <c r="I490" s="2" t="str">
        <f>VLOOKUP(Tabla3[[#This Row],[Deposito]],'SAPROV (2)'!D:E,2,FALSE)</f>
        <v>A01</v>
      </c>
      <c r="K490" s="23" t="s">
        <v>23</v>
      </c>
      <c r="L490" s="2" t="str">
        <f>VLOOKUP(Tabla3[[#This Row],[PROVEEDOR]],'SAPROV (2)'!A:B,2,FALSE)</f>
        <v>04</v>
      </c>
      <c r="M490" t="str">
        <f>VLOOKUP(Tabla3[[#This Row],[SERVICIO]],'SAPROV (2)'!I:J,2,FALSE)</f>
        <v>SERV0060</v>
      </c>
      <c r="N490" t="s">
        <v>611</v>
      </c>
      <c r="P490">
        <f>VLOOKUP(Tabla3[[#This Row],[FECHA]],TASA[],2,FALSE)</f>
        <v>344.51</v>
      </c>
      <c r="Q490" s="4">
        <f t="shared" si="68"/>
        <v>-7.2566834054163891</v>
      </c>
      <c r="R490" t="s">
        <v>1253</v>
      </c>
    </row>
    <row r="491" spans="1:18" x14ac:dyDescent="0.25">
      <c r="A491" s="33">
        <v>46041</v>
      </c>
      <c r="B491" s="1">
        <v>676274897009</v>
      </c>
      <c r="C491" s="2" t="s">
        <v>1251</v>
      </c>
      <c r="D491" s="34">
        <v>-129.6</v>
      </c>
      <c r="E491" t="s">
        <v>20</v>
      </c>
      <c r="F491" s="2" t="e">
        <f>VLOOKUP(Tabla3[[#This Row],[CONTABLE]],'SAPROV (2)'!L:M,2,FALSE)</f>
        <v>#N/A</v>
      </c>
      <c r="H491" t="s">
        <v>588</v>
      </c>
      <c r="I491" s="2" t="str">
        <f>VLOOKUP(Tabla3[[#This Row],[Deposito]],'SAPROV (2)'!D:E,2,FALSE)</f>
        <v>A01</v>
      </c>
      <c r="K491" s="23" t="s">
        <v>23</v>
      </c>
      <c r="L491" s="23" t="str">
        <f>VLOOKUP(Tabla3[[#This Row],[PROVEEDOR]],'SAPROV (2)'!A:B,2,FALSE)</f>
        <v>04</v>
      </c>
      <c r="M491" t="str">
        <f>VLOOKUP(Tabla3[[#This Row],[SERVICIO]],'SAPROV (2)'!I:J,2,FALSE)</f>
        <v>SERV0060</v>
      </c>
      <c r="N491" t="s">
        <v>611</v>
      </c>
      <c r="P491">
        <f>VLOOKUP(Tabla3[[#This Row],[FECHA]],TASA[],2,FALSE)</f>
        <v>344.51</v>
      </c>
      <c r="Q491" s="4">
        <f t="shared" si="68"/>
        <v>-0.37618646773678555</v>
      </c>
      <c r="R491" t="s">
        <v>1253</v>
      </c>
    </row>
    <row r="492" spans="1:18" x14ac:dyDescent="0.25">
      <c r="A492" s="33">
        <v>46041</v>
      </c>
      <c r="B492" s="1">
        <v>676275173001</v>
      </c>
      <c r="C492" s="2" t="s">
        <v>1251</v>
      </c>
      <c r="D492" s="34">
        <v>-2500</v>
      </c>
      <c r="E492" t="s">
        <v>20</v>
      </c>
      <c r="F492" s="2" t="e">
        <f>VLOOKUP(Tabla3[[#This Row],[CONTABLE]],'SAPROV (2)'!L:M,2,FALSE)</f>
        <v>#N/A</v>
      </c>
      <c r="H492" t="s">
        <v>588</v>
      </c>
      <c r="I492" s="2" t="str">
        <f>VLOOKUP(Tabla3[[#This Row],[Deposito]],'SAPROV (2)'!D:E,2,FALSE)</f>
        <v>A01</v>
      </c>
      <c r="K492" s="23" t="s">
        <v>23</v>
      </c>
      <c r="L492" s="23" t="str">
        <f>VLOOKUP(Tabla3[[#This Row],[PROVEEDOR]],'SAPROV (2)'!A:B,2,FALSE)</f>
        <v>04</v>
      </c>
      <c r="M492" t="str">
        <f>VLOOKUP(Tabla3[[#This Row],[SERVICIO]],'SAPROV (2)'!I:J,2,FALSE)</f>
        <v>SERV0060</v>
      </c>
      <c r="N492" t="s">
        <v>611</v>
      </c>
      <c r="P492">
        <f>VLOOKUP(Tabla3[[#This Row],[FECHA]],TASA[],2,FALSE)</f>
        <v>344.51</v>
      </c>
      <c r="Q492" s="4">
        <f t="shared" si="68"/>
        <v>-7.2566834054163891</v>
      </c>
      <c r="R492" t="s">
        <v>1253</v>
      </c>
    </row>
    <row r="493" spans="1:18" x14ac:dyDescent="0.25">
      <c r="A493" s="33">
        <v>46041</v>
      </c>
      <c r="B493" s="1">
        <v>676275175001</v>
      </c>
      <c r="C493" s="2" t="s">
        <v>1251</v>
      </c>
      <c r="D493" s="34">
        <v>-2500</v>
      </c>
      <c r="E493" t="s">
        <v>20</v>
      </c>
      <c r="F493" s="2" t="e">
        <f>VLOOKUP(Tabla3[[#This Row],[CONTABLE]],'SAPROV (2)'!L:M,2,FALSE)</f>
        <v>#N/A</v>
      </c>
      <c r="H493" t="s">
        <v>588</v>
      </c>
      <c r="I493" s="2" t="str">
        <f>VLOOKUP(Tabla3[[#This Row],[Deposito]],'SAPROV (2)'!D:E,2,FALSE)</f>
        <v>A01</v>
      </c>
      <c r="K493" s="23" t="s">
        <v>23</v>
      </c>
      <c r="L493" s="2" t="str">
        <f>VLOOKUP(Tabla3[[#This Row],[PROVEEDOR]],'SAPROV (2)'!A:B,2,FALSE)</f>
        <v>04</v>
      </c>
      <c r="M493" t="str">
        <f>VLOOKUP(Tabla3[[#This Row],[SERVICIO]],'SAPROV (2)'!I:J,2,FALSE)</f>
        <v>SERV0060</v>
      </c>
      <c r="N493" t="s">
        <v>611</v>
      </c>
      <c r="P493">
        <f>VLOOKUP(Tabla3[[#This Row],[FECHA]],TASA[],2,FALSE)</f>
        <v>344.51</v>
      </c>
      <c r="Q493" s="4">
        <f t="shared" si="68"/>
        <v>-7.2566834054163891</v>
      </c>
      <c r="R493" t="s">
        <v>1253</v>
      </c>
    </row>
    <row r="494" spans="1:18" x14ac:dyDescent="0.25">
      <c r="A494" s="33">
        <v>46041</v>
      </c>
      <c r="B494" s="1">
        <v>676275176001</v>
      </c>
      <c r="C494" s="2" t="s">
        <v>1251</v>
      </c>
      <c r="D494" s="34">
        <v>-2500</v>
      </c>
      <c r="E494" t="s">
        <v>20</v>
      </c>
      <c r="F494" s="2" t="e">
        <f>VLOOKUP(Tabla3[[#This Row],[CONTABLE]],'SAPROV (2)'!L:M,2,FALSE)</f>
        <v>#N/A</v>
      </c>
      <c r="H494" t="s">
        <v>588</v>
      </c>
      <c r="I494" s="2" t="str">
        <f>VLOOKUP(Tabla3[[#This Row],[Deposito]],'SAPROV (2)'!D:E,2,FALSE)</f>
        <v>A01</v>
      </c>
      <c r="K494" s="23" t="s">
        <v>23</v>
      </c>
      <c r="L494" s="23" t="str">
        <f>VLOOKUP(Tabla3[[#This Row],[PROVEEDOR]],'SAPROV (2)'!A:B,2,FALSE)</f>
        <v>04</v>
      </c>
      <c r="M494" t="str">
        <f>VLOOKUP(Tabla3[[#This Row],[SERVICIO]],'SAPROV (2)'!I:J,2,FALSE)</f>
        <v>SERV0060</v>
      </c>
      <c r="N494" t="s">
        <v>611</v>
      </c>
      <c r="P494">
        <f>VLOOKUP(Tabla3[[#This Row],[FECHA]],TASA[],2,FALSE)</f>
        <v>344.51</v>
      </c>
      <c r="Q494" s="4">
        <f t="shared" si="68"/>
        <v>-7.2566834054163891</v>
      </c>
      <c r="R494" t="s">
        <v>1253</v>
      </c>
    </row>
    <row r="495" spans="1:18" x14ac:dyDescent="0.25">
      <c r="A495" s="33">
        <v>46041</v>
      </c>
      <c r="B495" s="1">
        <v>676275181001</v>
      </c>
      <c r="C495" s="2" t="s">
        <v>1251</v>
      </c>
      <c r="D495" s="34">
        <v>-2500</v>
      </c>
      <c r="E495" t="s">
        <v>20</v>
      </c>
      <c r="F495" s="2" t="e">
        <f>VLOOKUP(Tabla3[[#This Row],[CONTABLE]],'SAPROV (2)'!L:M,2,FALSE)</f>
        <v>#N/A</v>
      </c>
      <c r="H495" t="s">
        <v>588</v>
      </c>
      <c r="I495" s="2" t="str">
        <f>VLOOKUP(Tabla3[[#This Row],[Deposito]],'SAPROV (2)'!D:E,2,FALSE)</f>
        <v>A01</v>
      </c>
      <c r="K495" s="23" t="s">
        <v>23</v>
      </c>
      <c r="L495" s="23" t="str">
        <f>VLOOKUP(Tabla3[[#This Row],[PROVEEDOR]],'SAPROV (2)'!A:B,2,FALSE)</f>
        <v>04</v>
      </c>
      <c r="M495" t="str">
        <f>VLOOKUP(Tabla3[[#This Row],[SERVICIO]],'SAPROV (2)'!I:J,2,FALSE)</f>
        <v>SERV0060</v>
      </c>
      <c r="N495" t="s">
        <v>611</v>
      </c>
      <c r="P495">
        <f>VLOOKUP(Tabla3[[#This Row],[FECHA]],TASA[],2,FALSE)</f>
        <v>344.51</v>
      </c>
      <c r="Q495" s="4">
        <f t="shared" si="68"/>
        <v>-7.2566834054163891</v>
      </c>
      <c r="R495" t="s">
        <v>1253</v>
      </c>
    </row>
    <row r="496" spans="1:18" x14ac:dyDescent="0.25">
      <c r="A496" s="33">
        <v>46041</v>
      </c>
      <c r="B496" s="1">
        <v>676275186001</v>
      </c>
      <c r="C496" s="2" t="s">
        <v>1251</v>
      </c>
      <c r="D496" s="34">
        <v>-2500</v>
      </c>
      <c r="E496" t="s">
        <v>20</v>
      </c>
      <c r="F496" s="2" t="e">
        <f>VLOOKUP(Tabla3[[#This Row],[CONTABLE]],'SAPROV (2)'!L:M,2,FALSE)</f>
        <v>#N/A</v>
      </c>
      <c r="H496" t="s">
        <v>588</v>
      </c>
      <c r="I496" s="2" t="str">
        <f>VLOOKUP(Tabla3[[#This Row],[Deposito]],'SAPROV (2)'!D:E,2,FALSE)</f>
        <v>A01</v>
      </c>
      <c r="K496" s="23" t="s">
        <v>23</v>
      </c>
      <c r="L496" s="2" t="str">
        <f>VLOOKUP(Tabla3[[#This Row],[PROVEEDOR]],'SAPROV (2)'!A:B,2,FALSE)</f>
        <v>04</v>
      </c>
      <c r="M496" t="str">
        <f>VLOOKUP(Tabla3[[#This Row],[SERVICIO]],'SAPROV (2)'!I:J,2,FALSE)</f>
        <v>SERV0060</v>
      </c>
      <c r="N496" t="s">
        <v>611</v>
      </c>
      <c r="P496">
        <f>VLOOKUP(Tabla3[[#This Row],[FECHA]],TASA[],2,FALSE)</f>
        <v>344.51</v>
      </c>
      <c r="Q496" s="4">
        <f t="shared" si="68"/>
        <v>-7.2566834054163891</v>
      </c>
      <c r="R496" t="s">
        <v>1253</v>
      </c>
    </row>
    <row r="497" spans="1:18" x14ac:dyDescent="0.25">
      <c r="A497" s="33">
        <v>46041</v>
      </c>
      <c r="B497" s="1">
        <v>676275187001</v>
      </c>
      <c r="C497" s="2" t="s">
        <v>1251</v>
      </c>
      <c r="D497" s="34">
        <v>-2500</v>
      </c>
      <c r="E497" t="s">
        <v>20</v>
      </c>
      <c r="F497" s="2" t="e">
        <f>VLOOKUP(Tabla3[[#This Row],[CONTABLE]],'SAPROV (2)'!L:M,2,FALSE)</f>
        <v>#N/A</v>
      </c>
      <c r="H497" t="s">
        <v>588</v>
      </c>
      <c r="I497" s="2" t="str">
        <f>VLOOKUP(Tabla3[[#This Row],[Deposito]],'SAPROV (2)'!D:E,2,FALSE)</f>
        <v>A01</v>
      </c>
      <c r="K497" s="23" t="s">
        <v>23</v>
      </c>
      <c r="L497" s="23" t="str">
        <f>VLOOKUP(Tabla3[[#This Row],[PROVEEDOR]],'SAPROV (2)'!A:B,2,FALSE)</f>
        <v>04</v>
      </c>
      <c r="M497" t="str">
        <f>VLOOKUP(Tabla3[[#This Row],[SERVICIO]],'SAPROV (2)'!I:J,2,FALSE)</f>
        <v>SERV0060</v>
      </c>
      <c r="N497" t="s">
        <v>611</v>
      </c>
      <c r="P497">
        <f>VLOOKUP(Tabla3[[#This Row],[FECHA]],TASA[],2,FALSE)</f>
        <v>344.51</v>
      </c>
      <c r="Q497" s="4">
        <f t="shared" si="68"/>
        <v>-7.2566834054163891</v>
      </c>
      <c r="R497" t="s">
        <v>1253</v>
      </c>
    </row>
    <row r="498" spans="1:18" x14ac:dyDescent="0.25">
      <c r="A498" s="33">
        <v>46041</v>
      </c>
      <c r="B498" s="1">
        <v>676275182001</v>
      </c>
      <c r="C498" s="2" t="s">
        <v>1251</v>
      </c>
      <c r="D498" s="34">
        <v>-2500</v>
      </c>
      <c r="E498" t="s">
        <v>20</v>
      </c>
      <c r="F498" s="2" t="e">
        <f>VLOOKUP(Tabla3[[#This Row],[CONTABLE]],'SAPROV (2)'!L:M,2,FALSE)</f>
        <v>#N/A</v>
      </c>
      <c r="H498" t="s">
        <v>588</v>
      </c>
      <c r="I498" s="2" t="str">
        <f>VLOOKUP(Tabla3[[#This Row],[Deposito]],'SAPROV (2)'!D:E,2,FALSE)</f>
        <v>A01</v>
      </c>
      <c r="K498" s="23" t="s">
        <v>23</v>
      </c>
      <c r="L498" s="23" t="str">
        <f>VLOOKUP(Tabla3[[#This Row],[PROVEEDOR]],'SAPROV (2)'!A:B,2,FALSE)</f>
        <v>04</v>
      </c>
      <c r="M498" t="str">
        <f>VLOOKUP(Tabla3[[#This Row],[SERVICIO]],'SAPROV (2)'!I:J,2,FALSE)</f>
        <v>SERV0060</v>
      </c>
      <c r="N498" t="s">
        <v>611</v>
      </c>
      <c r="P498">
        <f>VLOOKUP(Tabla3[[#This Row],[FECHA]],TASA[],2,FALSE)</f>
        <v>344.51</v>
      </c>
      <c r="Q498" s="4">
        <f t="shared" si="68"/>
        <v>-7.2566834054163891</v>
      </c>
      <c r="R498" t="s">
        <v>1253</v>
      </c>
    </row>
    <row r="499" spans="1:18" x14ac:dyDescent="0.25">
      <c r="A499" s="33">
        <v>46041</v>
      </c>
      <c r="B499" s="1">
        <v>676274892005</v>
      </c>
      <c r="C499" s="2" t="s">
        <v>1251</v>
      </c>
      <c r="D499" s="34">
        <v>-73.19</v>
      </c>
      <c r="E499" t="s">
        <v>20</v>
      </c>
      <c r="F499" s="2" t="e">
        <f>VLOOKUP(Tabla3[[#This Row],[CONTABLE]],'SAPROV (2)'!L:M,2,FALSE)</f>
        <v>#N/A</v>
      </c>
      <c r="H499" t="s">
        <v>588</v>
      </c>
      <c r="I499" s="2" t="str">
        <f>VLOOKUP(Tabla3[[#This Row],[Deposito]],'SAPROV (2)'!D:E,2,FALSE)</f>
        <v>A01</v>
      </c>
      <c r="K499" s="23" t="s">
        <v>23</v>
      </c>
      <c r="L499" s="2" t="str">
        <f>VLOOKUP(Tabla3[[#This Row],[PROVEEDOR]],'SAPROV (2)'!A:B,2,FALSE)</f>
        <v>04</v>
      </c>
      <c r="M499" t="str">
        <f>VLOOKUP(Tabla3[[#This Row],[SERVICIO]],'SAPROV (2)'!I:J,2,FALSE)</f>
        <v>SERV0060</v>
      </c>
      <c r="N499" t="s">
        <v>611</v>
      </c>
      <c r="P499">
        <f>VLOOKUP(Tabla3[[#This Row],[FECHA]],TASA[],2,FALSE)</f>
        <v>344.51</v>
      </c>
      <c r="Q499" s="4">
        <f t="shared" ref="Q499:Q500" si="69">D499/P499</f>
        <v>-0.21244666337697019</v>
      </c>
      <c r="R499" t="s">
        <v>1253</v>
      </c>
    </row>
    <row r="500" spans="1:18" x14ac:dyDescent="0.25">
      <c r="A500" s="33">
        <v>46041</v>
      </c>
      <c r="B500" s="1">
        <v>676274888001</v>
      </c>
      <c r="C500" s="2" t="s">
        <v>1251</v>
      </c>
      <c r="D500" s="34">
        <v>-1837.93</v>
      </c>
      <c r="E500" t="s">
        <v>20</v>
      </c>
      <c r="F500" s="2" t="e">
        <f>VLOOKUP(Tabla3[[#This Row],[CONTABLE]],'SAPROV (2)'!L:M,2,FALSE)</f>
        <v>#N/A</v>
      </c>
      <c r="H500" t="s">
        <v>588</v>
      </c>
      <c r="I500" s="2" t="str">
        <f>VLOOKUP(Tabla3[[#This Row],[Deposito]],'SAPROV (2)'!D:E,2,FALSE)</f>
        <v>A01</v>
      </c>
      <c r="K500" s="23" t="s">
        <v>23</v>
      </c>
      <c r="L500" s="23" t="str">
        <f>VLOOKUP(Tabla3[[#This Row],[PROVEEDOR]],'SAPROV (2)'!A:B,2,FALSE)</f>
        <v>04</v>
      </c>
      <c r="M500" t="str">
        <f>VLOOKUP(Tabla3[[#This Row],[SERVICIO]],'SAPROV (2)'!I:J,2,FALSE)</f>
        <v>SERV0060</v>
      </c>
      <c r="N500" t="s">
        <v>611</v>
      </c>
      <c r="P500">
        <f>VLOOKUP(Tabla3[[#This Row],[FECHA]],TASA[],2,FALSE)</f>
        <v>344.51</v>
      </c>
      <c r="Q500" s="4">
        <f t="shared" si="69"/>
        <v>-5.3349104525267776</v>
      </c>
      <c r="R500" t="s">
        <v>1253</v>
      </c>
    </row>
    <row r="501" spans="1:18" x14ac:dyDescent="0.25">
      <c r="A501" s="33">
        <v>46041</v>
      </c>
      <c r="B501" s="1">
        <v>676275171001</v>
      </c>
      <c r="C501" s="2" t="s">
        <v>1251</v>
      </c>
      <c r="D501" s="34">
        <v>-2500</v>
      </c>
      <c r="E501" t="s">
        <v>20</v>
      </c>
      <c r="F501" s="2" t="e">
        <f>VLOOKUP(Tabla3[[#This Row],[CONTABLE]],'SAPROV (2)'!L:M,2,FALSE)</f>
        <v>#N/A</v>
      </c>
      <c r="H501" t="s">
        <v>588</v>
      </c>
      <c r="I501" s="2" t="str">
        <f>VLOOKUP(Tabla3[[#This Row],[Deposito]],'SAPROV (2)'!D:E,2,FALSE)</f>
        <v>A01</v>
      </c>
      <c r="K501" s="23" t="s">
        <v>23</v>
      </c>
      <c r="L501" s="23" t="str">
        <f>VLOOKUP(Tabla3[[#This Row],[PROVEEDOR]],'SAPROV (2)'!A:B,2,FALSE)</f>
        <v>04</v>
      </c>
      <c r="M501" t="str">
        <f>VLOOKUP(Tabla3[[#This Row],[SERVICIO]],'SAPROV (2)'!I:J,2,FALSE)</f>
        <v>SERV0060</v>
      </c>
      <c r="N501" t="s">
        <v>611</v>
      </c>
      <c r="P501">
        <f>VLOOKUP(Tabla3[[#This Row],[FECHA]],TASA[],2,FALSE)</f>
        <v>344.51</v>
      </c>
      <c r="Q501" s="4">
        <f>D501/P501</f>
        <v>-7.2566834054163891</v>
      </c>
      <c r="R501" t="s">
        <v>1253</v>
      </c>
    </row>
    <row r="502" spans="1:18" x14ac:dyDescent="0.25">
      <c r="A502" s="33">
        <v>46041</v>
      </c>
      <c r="B502" s="1">
        <v>676275178001</v>
      </c>
      <c r="C502" s="2" t="s">
        <v>1251</v>
      </c>
      <c r="D502" s="34">
        <v>-2500</v>
      </c>
      <c r="E502" t="s">
        <v>20</v>
      </c>
      <c r="F502" s="2" t="e">
        <f>VLOOKUP(Tabla3[[#This Row],[CONTABLE]],'SAPROV (2)'!L:M,2,FALSE)</f>
        <v>#N/A</v>
      </c>
      <c r="H502" t="s">
        <v>588</v>
      </c>
      <c r="I502" s="2" t="str">
        <f>VLOOKUP(Tabla3[[#This Row],[Deposito]],'SAPROV (2)'!D:E,2,FALSE)</f>
        <v>A01</v>
      </c>
      <c r="K502" s="23" t="s">
        <v>23</v>
      </c>
      <c r="L502" s="2" t="str">
        <f>VLOOKUP(Tabla3[[#This Row],[PROVEEDOR]],'SAPROV (2)'!A:B,2,FALSE)</f>
        <v>04</v>
      </c>
      <c r="M502" t="str">
        <f>VLOOKUP(Tabla3[[#This Row],[SERVICIO]],'SAPROV (2)'!I:J,2,FALSE)</f>
        <v>SERV0060</v>
      </c>
      <c r="N502" t="s">
        <v>611</v>
      </c>
      <c r="P502">
        <f>VLOOKUP(Tabla3[[#This Row],[FECHA]],TASA[],2,FALSE)</f>
        <v>344.51</v>
      </c>
      <c r="Q502" s="4">
        <f>D502/P502</f>
        <v>-7.2566834054163891</v>
      </c>
      <c r="R502" t="s">
        <v>1253</v>
      </c>
    </row>
    <row r="503" spans="1:18" x14ac:dyDescent="0.25">
      <c r="A503" s="33">
        <v>46041</v>
      </c>
      <c r="B503" s="1">
        <v>676275180001</v>
      </c>
      <c r="C503" s="2" t="s">
        <v>1251</v>
      </c>
      <c r="D503" s="34">
        <v>-2500</v>
      </c>
      <c r="E503" t="s">
        <v>20</v>
      </c>
      <c r="F503" s="2" t="e">
        <f>VLOOKUP(Tabla3[[#This Row],[CONTABLE]],'SAPROV (2)'!L:M,2,FALSE)</f>
        <v>#N/A</v>
      </c>
      <c r="H503" t="s">
        <v>588</v>
      </c>
      <c r="I503" s="2" t="str">
        <f>VLOOKUP(Tabla3[[#This Row],[Deposito]],'SAPROV (2)'!D:E,2,FALSE)</f>
        <v>A01</v>
      </c>
      <c r="K503" s="23" t="s">
        <v>23</v>
      </c>
      <c r="L503" s="23" t="str">
        <f>VLOOKUP(Tabla3[[#This Row],[PROVEEDOR]],'SAPROV (2)'!A:B,2,FALSE)</f>
        <v>04</v>
      </c>
      <c r="M503" t="str">
        <f>VLOOKUP(Tabla3[[#This Row],[SERVICIO]],'SAPROV (2)'!I:J,2,FALSE)</f>
        <v>SERV0060</v>
      </c>
      <c r="N503" t="s">
        <v>611</v>
      </c>
      <c r="P503">
        <f>VLOOKUP(Tabla3[[#This Row],[FECHA]],TASA[],2,FALSE)</f>
        <v>344.51</v>
      </c>
      <c r="Q503" s="4">
        <f>D503/P503</f>
        <v>-7.2566834054163891</v>
      </c>
      <c r="R503" t="s">
        <v>1253</v>
      </c>
    </row>
    <row r="504" spans="1:18" x14ac:dyDescent="0.25">
      <c r="A504" s="33">
        <v>46041</v>
      </c>
      <c r="B504" s="1">
        <v>676295519002</v>
      </c>
      <c r="C504" s="2" t="s">
        <v>1251</v>
      </c>
      <c r="D504" s="34">
        <v>-32.590000000000003</v>
      </c>
      <c r="E504" t="s">
        <v>20</v>
      </c>
      <c r="F504" s="2" t="e">
        <f>VLOOKUP(Tabla3[[#This Row],[CONTABLE]],'SAPROV (2)'!L:M,2,FALSE)</f>
        <v>#N/A</v>
      </c>
      <c r="H504" t="s">
        <v>588</v>
      </c>
      <c r="I504" s="2" t="str">
        <f>VLOOKUP(Tabla3[[#This Row],[Deposito]],'SAPROV (2)'!D:E,2,FALSE)</f>
        <v>A01</v>
      </c>
      <c r="K504" s="23" t="s">
        <v>23</v>
      </c>
      <c r="L504" s="23" t="str">
        <f>VLOOKUP(Tabla3[[#This Row],[PROVEEDOR]],'SAPROV (2)'!A:B,2,FALSE)</f>
        <v>04</v>
      </c>
      <c r="M504" t="str">
        <f>VLOOKUP(Tabla3[[#This Row],[SERVICIO]],'SAPROV (2)'!I:J,2,FALSE)</f>
        <v>SERV0060</v>
      </c>
      <c r="N504" t="s">
        <v>611</v>
      </c>
      <c r="P504">
        <f>VLOOKUP(Tabla3[[#This Row],[FECHA]],TASA[],2,FALSE)</f>
        <v>344.51</v>
      </c>
      <c r="Q504" s="4">
        <f>D504/P504</f>
        <v>-9.4598124873008047E-2</v>
      </c>
      <c r="R504" t="s">
        <v>1253</v>
      </c>
    </row>
    <row r="505" spans="1:18" x14ac:dyDescent="0.25">
      <c r="A505" s="33">
        <v>46041</v>
      </c>
      <c r="B505" s="1">
        <v>676295521004</v>
      </c>
      <c r="C505" s="2" t="s">
        <v>1251</v>
      </c>
      <c r="D505" s="34">
        <v>-482.12</v>
      </c>
      <c r="E505" t="s">
        <v>20</v>
      </c>
      <c r="F505" s="2" t="e">
        <f>VLOOKUP(Tabla3[[#This Row],[CONTABLE]],'SAPROV (2)'!L:M,2,FALSE)</f>
        <v>#N/A</v>
      </c>
      <c r="H505" t="s">
        <v>588</v>
      </c>
      <c r="I505" s="2" t="str">
        <f>VLOOKUP(Tabla3[[#This Row],[Deposito]],'SAPROV (2)'!D:E,2,FALSE)</f>
        <v>A01</v>
      </c>
      <c r="K505" s="23" t="s">
        <v>23</v>
      </c>
      <c r="L505" s="2" t="str">
        <f>VLOOKUP(Tabla3[[#This Row],[PROVEEDOR]],'SAPROV (2)'!A:B,2,FALSE)</f>
        <v>04</v>
      </c>
      <c r="M505" t="str">
        <f>VLOOKUP(Tabla3[[#This Row],[SERVICIO]],'SAPROV (2)'!I:J,2,FALSE)</f>
        <v>SERV0060</v>
      </c>
      <c r="N505" t="s">
        <v>611</v>
      </c>
      <c r="P505">
        <f>VLOOKUP(Tabla3[[#This Row],[FECHA]],TASA[],2,FALSE)</f>
        <v>344.51</v>
      </c>
      <c r="Q505" s="4">
        <f>D505/P505</f>
        <v>-1.3994368813677398</v>
      </c>
      <c r="R505" t="s">
        <v>1253</v>
      </c>
    </row>
    <row r="506" spans="1:18" x14ac:dyDescent="0.25">
      <c r="A506" s="33">
        <v>46041</v>
      </c>
      <c r="B506" s="1">
        <v>676295523006</v>
      </c>
      <c r="C506" s="2" t="s">
        <v>1251</v>
      </c>
      <c r="D506" s="34">
        <v>-368.19</v>
      </c>
      <c r="E506" t="s">
        <v>20</v>
      </c>
      <c r="F506" s="2" t="e">
        <f>VLOOKUP(Tabla3[[#This Row],[CONTABLE]],'SAPROV (2)'!L:M,2,FALSE)</f>
        <v>#N/A</v>
      </c>
      <c r="H506" t="s">
        <v>588</v>
      </c>
      <c r="I506" s="2" t="str">
        <f>VLOOKUP(Tabla3[[#This Row],[Deposito]],'SAPROV (2)'!D:E,2,FALSE)</f>
        <v>A01</v>
      </c>
      <c r="K506" s="23" t="s">
        <v>23</v>
      </c>
      <c r="L506" s="23" t="str">
        <f>VLOOKUP(Tabla3[[#This Row],[PROVEEDOR]],'SAPROV (2)'!A:B,2,FALSE)</f>
        <v>04</v>
      </c>
      <c r="M506" t="str">
        <f>VLOOKUP(Tabla3[[#This Row],[SERVICIO]],'SAPROV (2)'!I:J,2,FALSE)</f>
        <v>SERV0060</v>
      </c>
      <c r="N506" t="s">
        <v>611</v>
      </c>
      <c r="P506">
        <f>VLOOKUP(Tabla3[[#This Row],[FECHA]],TASA[],2,FALSE)</f>
        <v>344.51</v>
      </c>
      <c r="Q506" s="4">
        <f t="shared" ref="Q506:Q507" si="70">D506/P506</f>
        <v>-1.0687353052161042</v>
      </c>
      <c r="R506" t="s">
        <v>1253</v>
      </c>
    </row>
    <row r="507" spans="1:18" x14ac:dyDescent="0.25">
      <c r="A507" s="33">
        <v>46041</v>
      </c>
      <c r="B507" s="1">
        <v>676295522005</v>
      </c>
      <c r="C507" s="2" t="s">
        <v>1251</v>
      </c>
      <c r="D507" s="34">
        <v>-197.43</v>
      </c>
      <c r="E507" t="s">
        <v>20</v>
      </c>
      <c r="F507" s="2" t="e">
        <f>VLOOKUP(Tabla3[[#This Row],[CONTABLE]],'SAPROV (2)'!L:M,2,FALSE)</f>
        <v>#N/A</v>
      </c>
      <c r="H507" t="s">
        <v>588</v>
      </c>
      <c r="I507" s="2" t="str">
        <f>VLOOKUP(Tabla3[[#This Row],[Deposito]],'SAPROV (2)'!D:E,2,FALSE)</f>
        <v>A01</v>
      </c>
      <c r="K507" s="23" t="s">
        <v>23</v>
      </c>
      <c r="L507" s="23" t="str">
        <f>VLOOKUP(Tabla3[[#This Row],[PROVEEDOR]],'SAPROV (2)'!A:B,2,FALSE)</f>
        <v>04</v>
      </c>
      <c r="M507" t="str">
        <f>VLOOKUP(Tabla3[[#This Row],[SERVICIO]],'SAPROV (2)'!I:J,2,FALSE)</f>
        <v>SERV0060</v>
      </c>
      <c r="N507" t="s">
        <v>611</v>
      </c>
      <c r="P507">
        <f>VLOOKUP(Tabla3[[#This Row],[FECHA]],TASA[],2,FALSE)</f>
        <v>344.51</v>
      </c>
      <c r="Q507" s="4">
        <f t="shared" si="70"/>
        <v>-0.57307480189254312</v>
      </c>
      <c r="R507" t="s">
        <v>1253</v>
      </c>
    </row>
    <row r="508" spans="1:18" x14ac:dyDescent="0.25">
      <c r="A508" s="33">
        <v>46041</v>
      </c>
      <c r="B508" s="1">
        <v>676295518001</v>
      </c>
      <c r="C508" s="2" t="s">
        <v>1251</v>
      </c>
      <c r="D508" s="34">
        <v>-645.95000000000005</v>
      </c>
      <c r="E508" t="s">
        <v>20</v>
      </c>
      <c r="F508" s="2" t="e">
        <f>VLOOKUP(Tabla3[[#This Row],[CONTABLE]],'SAPROV (2)'!L:M,2,FALSE)</f>
        <v>#N/A</v>
      </c>
      <c r="H508" t="s">
        <v>588</v>
      </c>
      <c r="I508" s="2" t="str">
        <f>VLOOKUP(Tabla3[[#This Row],[Deposito]],'SAPROV (2)'!D:E,2,FALSE)</f>
        <v>A01</v>
      </c>
      <c r="K508" s="23" t="s">
        <v>23</v>
      </c>
      <c r="L508" s="2" t="str">
        <f>VLOOKUP(Tabla3[[#This Row],[PROVEEDOR]],'SAPROV (2)'!A:B,2,FALSE)</f>
        <v>04</v>
      </c>
      <c r="M508" t="str">
        <f>VLOOKUP(Tabla3[[#This Row],[SERVICIO]],'SAPROV (2)'!I:J,2,FALSE)</f>
        <v>SERV0060</v>
      </c>
      <c r="N508" t="s">
        <v>611</v>
      </c>
      <c r="P508">
        <f>VLOOKUP(Tabla3[[#This Row],[FECHA]],TASA[],2,FALSE)</f>
        <v>344.51</v>
      </c>
      <c r="Q508" s="4">
        <f>D508/P508</f>
        <v>-1.8749818582914866</v>
      </c>
      <c r="R508" t="s">
        <v>1253</v>
      </c>
    </row>
    <row r="509" spans="1:18" x14ac:dyDescent="0.25">
      <c r="A509" s="33">
        <v>46041</v>
      </c>
      <c r="B509" s="1">
        <v>676295520003</v>
      </c>
      <c r="C509" s="2" t="s">
        <v>1251</v>
      </c>
      <c r="D509" s="34">
        <v>-748.66</v>
      </c>
      <c r="E509" t="s">
        <v>20</v>
      </c>
      <c r="F509" s="2" t="e">
        <f>VLOOKUP(Tabla3[[#This Row],[CONTABLE]],'SAPROV (2)'!L:M,2,FALSE)</f>
        <v>#N/A</v>
      </c>
      <c r="H509" t="s">
        <v>588</v>
      </c>
      <c r="I509" s="2" t="str">
        <f>VLOOKUP(Tabla3[[#This Row],[Deposito]],'SAPROV (2)'!D:E,2,FALSE)</f>
        <v>A01</v>
      </c>
      <c r="K509" s="23" t="s">
        <v>23</v>
      </c>
      <c r="L509" s="23" t="str">
        <f>VLOOKUP(Tabla3[[#This Row],[PROVEEDOR]],'SAPROV (2)'!A:B,2,FALSE)</f>
        <v>04</v>
      </c>
      <c r="M509" t="str">
        <f>VLOOKUP(Tabla3[[#This Row],[SERVICIO]],'SAPROV (2)'!I:J,2,FALSE)</f>
        <v>SERV0060</v>
      </c>
      <c r="N509" t="s">
        <v>611</v>
      </c>
      <c r="P509">
        <f>VLOOKUP(Tabla3[[#This Row],[FECHA]],TASA[],2,FALSE)</f>
        <v>344.51</v>
      </c>
      <c r="Q509" s="4">
        <f>D509/P509</f>
        <v>-2.1731154393196133</v>
      </c>
      <c r="R509" t="s">
        <v>1253</v>
      </c>
    </row>
    <row r="510" spans="1:18" x14ac:dyDescent="0.25">
      <c r="A510" s="33">
        <v>46042</v>
      </c>
      <c r="B510" s="1">
        <v>676262958006</v>
      </c>
      <c r="C510" s="2" t="s">
        <v>1251</v>
      </c>
      <c r="D510" s="34">
        <v>-2500</v>
      </c>
      <c r="E510" t="s">
        <v>20</v>
      </c>
      <c r="F510" s="2" t="e">
        <f>VLOOKUP(Tabla3[[#This Row],[CONTABLE]],'SAPROV (2)'!L:M,2,FALSE)</f>
        <v>#N/A</v>
      </c>
      <c r="H510" t="s">
        <v>588</v>
      </c>
      <c r="I510" s="2" t="str">
        <f>VLOOKUP(Tabla3[[#This Row],[Deposito]],'SAPROV (2)'!D:E,2,FALSE)</f>
        <v>A01</v>
      </c>
      <c r="K510" s="23" t="s">
        <v>23</v>
      </c>
      <c r="L510" s="23" t="str">
        <f>VLOOKUP(Tabla3[[#This Row],[PROVEEDOR]],'SAPROV (2)'!A:B,2,FALSE)</f>
        <v>04</v>
      </c>
      <c r="M510" t="str">
        <f>VLOOKUP(Tabla3[[#This Row],[SERVICIO]],'SAPROV (2)'!I:J,2,FALSE)</f>
        <v>SERV0060</v>
      </c>
      <c r="N510" t="s">
        <v>611</v>
      </c>
      <c r="P510">
        <f>VLOOKUP(Tabla3[[#This Row],[FECHA]],TASA[],2,FALSE)</f>
        <v>344.51</v>
      </c>
      <c r="Q510" s="4">
        <f t="shared" ref="Q510:Q511" si="71">D510/P510</f>
        <v>-7.2566834054163891</v>
      </c>
      <c r="R510" t="s">
        <v>1253</v>
      </c>
    </row>
    <row r="511" spans="1:18" x14ac:dyDescent="0.25">
      <c r="A511" s="33">
        <v>46042</v>
      </c>
      <c r="B511" s="1">
        <v>676262953001</v>
      </c>
      <c r="C511" s="2" t="s">
        <v>1251</v>
      </c>
      <c r="D511" s="34">
        <v>-2500</v>
      </c>
      <c r="E511" t="s">
        <v>20</v>
      </c>
      <c r="F511" s="2" t="e">
        <f>VLOOKUP(Tabla3[[#This Row],[CONTABLE]],'SAPROV (2)'!L:M,2,FALSE)</f>
        <v>#N/A</v>
      </c>
      <c r="H511" t="s">
        <v>588</v>
      </c>
      <c r="I511" s="2" t="str">
        <f>VLOOKUP(Tabla3[[#This Row],[Deposito]],'SAPROV (2)'!D:E,2,FALSE)</f>
        <v>A01</v>
      </c>
      <c r="K511" s="23" t="s">
        <v>23</v>
      </c>
      <c r="L511" s="2" t="str">
        <f>VLOOKUP(Tabla3[[#This Row],[PROVEEDOR]],'SAPROV (2)'!A:B,2,FALSE)</f>
        <v>04</v>
      </c>
      <c r="M511" t="str">
        <f>VLOOKUP(Tabla3[[#This Row],[SERVICIO]],'SAPROV (2)'!I:J,2,FALSE)</f>
        <v>SERV0060</v>
      </c>
      <c r="N511" t="s">
        <v>611</v>
      </c>
      <c r="P511">
        <f>VLOOKUP(Tabla3[[#This Row],[FECHA]],TASA[],2,FALSE)</f>
        <v>344.51</v>
      </c>
      <c r="Q511" s="4">
        <f t="shared" si="71"/>
        <v>-7.2566834054163891</v>
      </c>
      <c r="R511" t="s">
        <v>1253</v>
      </c>
    </row>
    <row r="512" spans="1:18" x14ac:dyDescent="0.25">
      <c r="A512" s="33">
        <v>46042</v>
      </c>
      <c r="B512" s="1">
        <v>676262955003</v>
      </c>
      <c r="C512" s="2" t="s">
        <v>1251</v>
      </c>
      <c r="D512" s="34">
        <v>-2500</v>
      </c>
      <c r="E512" t="s">
        <v>20</v>
      </c>
      <c r="F512" s="2" t="e">
        <f>VLOOKUP(Tabla3[[#This Row],[CONTABLE]],'SAPROV (2)'!L:M,2,FALSE)</f>
        <v>#N/A</v>
      </c>
      <c r="H512" t="s">
        <v>588</v>
      </c>
      <c r="I512" s="2" t="str">
        <f>VLOOKUP(Tabla3[[#This Row],[Deposito]],'SAPROV (2)'!D:E,2,FALSE)</f>
        <v>A01</v>
      </c>
      <c r="K512" s="23" t="s">
        <v>23</v>
      </c>
      <c r="L512" s="23" t="str">
        <f>VLOOKUP(Tabla3[[#This Row],[PROVEEDOR]],'SAPROV (2)'!A:B,2,FALSE)</f>
        <v>04</v>
      </c>
      <c r="M512" t="str">
        <f>VLOOKUP(Tabla3[[#This Row],[SERVICIO]],'SAPROV (2)'!I:J,2,FALSE)</f>
        <v>SERV0060</v>
      </c>
      <c r="N512" t="s">
        <v>611</v>
      </c>
      <c r="P512">
        <f>VLOOKUP(Tabla3[[#This Row],[FECHA]],TASA[],2,FALSE)</f>
        <v>344.51</v>
      </c>
      <c r="Q512" s="4">
        <f t="shared" ref="Q512:Q517" si="72">D512/P512</f>
        <v>-7.2566834054163891</v>
      </c>
      <c r="R512" t="s">
        <v>1253</v>
      </c>
    </row>
    <row r="513" spans="1:18" x14ac:dyDescent="0.25">
      <c r="A513" s="33">
        <v>46042</v>
      </c>
      <c r="B513" s="1">
        <v>676262970018</v>
      </c>
      <c r="C513" s="2" t="s">
        <v>1251</v>
      </c>
      <c r="D513" s="34">
        <v>-2500</v>
      </c>
      <c r="E513" t="s">
        <v>20</v>
      </c>
      <c r="F513" s="2" t="e">
        <f>VLOOKUP(Tabla3[[#This Row],[CONTABLE]],'SAPROV (2)'!L:M,2,FALSE)</f>
        <v>#N/A</v>
      </c>
      <c r="H513" t="s">
        <v>588</v>
      </c>
      <c r="I513" s="2" t="str">
        <f>VLOOKUP(Tabla3[[#This Row],[Deposito]],'SAPROV (2)'!D:E,2,FALSE)</f>
        <v>A01</v>
      </c>
      <c r="K513" s="23" t="s">
        <v>23</v>
      </c>
      <c r="L513" s="23" t="str">
        <f>VLOOKUP(Tabla3[[#This Row],[PROVEEDOR]],'SAPROV (2)'!A:B,2,FALSE)</f>
        <v>04</v>
      </c>
      <c r="M513" t="str">
        <f>VLOOKUP(Tabla3[[#This Row],[SERVICIO]],'SAPROV (2)'!I:J,2,FALSE)</f>
        <v>SERV0060</v>
      </c>
      <c r="N513" t="s">
        <v>611</v>
      </c>
      <c r="P513">
        <f>VLOOKUP(Tabla3[[#This Row],[FECHA]],TASA[],2,FALSE)</f>
        <v>344.51</v>
      </c>
      <c r="Q513" s="4">
        <f t="shared" si="72"/>
        <v>-7.2566834054163891</v>
      </c>
      <c r="R513" t="s">
        <v>1253</v>
      </c>
    </row>
    <row r="514" spans="1:18" x14ac:dyDescent="0.25">
      <c r="A514" s="33">
        <v>46042</v>
      </c>
      <c r="B514" s="1">
        <v>676262968016</v>
      </c>
      <c r="C514" s="2" t="s">
        <v>1251</v>
      </c>
      <c r="D514" s="34">
        <v>-2500</v>
      </c>
      <c r="E514" t="s">
        <v>20</v>
      </c>
      <c r="F514" s="2" t="e">
        <f>VLOOKUP(Tabla3[[#This Row],[CONTABLE]],'SAPROV (2)'!L:M,2,FALSE)</f>
        <v>#N/A</v>
      </c>
      <c r="H514" t="s">
        <v>588</v>
      </c>
      <c r="I514" s="2" t="str">
        <f>VLOOKUP(Tabla3[[#This Row],[Deposito]],'SAPROV (2)'!D:E,2,FALSE)</f>
        <v>A01</v>
      </c>
      <c r="K514" s="23" t="s">
        <v>23</v>
      </c>
      <c r="L514" s="2" t="str">
        <f>VLOOKUP(Tabla3[[#This Row],[PROVEEDOR]],'SAPROV (2)'!A:B,2,FALSE)</f>
        <v>04</v>
      </c>
      <c r="M514" t="str">
        <f>VLOOKUP(Tabla3[[#This Row],[SERVICIO]],'SAPROV (2)'!I:J,2,FALSE)</f>
        <v>SERV0060</v>
      </c>
      <c r="N514" t="s">
        <v>611</v>
      </c>
      <c r="P514">
        <f>VLOOKUP(Tabla3[[#This Row],[FECHA]],TASA[],2,FALSE)</f>
        <v>344.51</v>
      </c>
      <c r="Q514" s="4">
        <f t="shared" si="72"/>
        <v>-7.2566834054163891</v>
      </c>
      <c r="R514" t="s">
        <v>1253</v>
      </c>
    </row>
    <row r="515" spans="1:18" x14ac:dyDescent="0.25">
      <c r="A515" s="33">
        <v>46042</v>
      </c>
      <c r="B515" s="1">
        <v>676262959007</v>
      </c>
      <c r="C515" s="2" t="s">
        <v>1251</v>
      </c>
      <c r="D515" s="34">
        <v>-2500</v>
      </c>
      <c r="E515" t="s">
        <v>20</v>
      </c>
      <c r="F515" s="2" t="e">
        <f>VLOOKUP(Tabla3[[#This Row],[CONTABLE]],'SAPROV (2)'!L:M,2,FALSE)</f>
        <v>#N/A</v>
      </c>
      <c r="H515" t="s">
        <v>588</v>
      </c>
      <c r="I515" s="2" t="str">
        <f>VLOOKUP(Tabla3[[#This Row],[Deposito]],'SAPROV (2)'!D:E,2,FALSE)</f>
        <v>A01</v>
      </c>
      <c r="K515" s="23" t="s">
        <v>23</v>
      </c>
      <c r="L515" s="23" t="str">
        <f>VLOOKUP(Tabla3[[#This Row],[PROVEEDOR]],'SAPROV (2)'!A:B,2,FALSE)</f>
        <v>04</v>
      </c>
      <c r="M515" t="str">
        <f>VLOOKUP(Tabla3[[#This Row],[SERVICIO]],'SAPROV (2)'!I:J,2,FALSE)</f>
        <v>SERV0060</v>
      </c>
      <c r="N515" t="s">
        <v>611</v>
      </c>
      <c r="P515">
        <f>VLOOKUP(Tabla3[[#This Row],[FECHA]],TASA[],2,FALSE)</f>
        <v>344.51</v>
      </c>
      <c r="Q515" s="4">
        <f t="shared" si="72"/>
        <v>-7.2566834054163891</v>
      </c>
      <c r="R515" t="s">
        <v>1253</v>
      </c>
    </row>
    <row r="516" spans="1:18" x14ac:dyDescent="0.25">
      <c r="A516" s="33">
        <v>46042</v>
      </c>
      <c r="B516" s="1">
        <v>676262956004</v>
      </c>
      <c r="C516" s="2" t="s">
        <v>1251</v>
      </c>
      <c r="D516" s="34">
        <v>-2500</v>
      </c>
      <c r="E516" t="s">
        <v>20</v>
      </c>
      <c r="F516" s="2" t="e">
        <f>VLOOKUP(Tabla3[[#This Row],[CONTABLE]],'SAPROV (2)'!L:M,2,FALSE)</f>
        <v>#N/A</v>
      </c>
      <c r="H516" t="s">
        <v>588</v>
      </c>
      <c r="I516" s="2" t="str">
        <f>VLOOKUP(Tabla3[[#This Row],[Deposito]],'SAPROV (2)'!D:E,2,FALSE)</f>
        <v>A01</v>
      </c>
      <c r="K516" s="23" t="s">
        <v>23</v>
      </c>
      <c r="L516" s="23" t="str">
        <f>VLOOKUP(Tabla3[[#This Row],[PROVEEDOR]],'SAPROV (2)'!A:B,2,FALSE)</f>
        <v>04</v>
      </c>
      <c r="M516" t="str">
        <f>VLOOKUP(Tabla3[[#This Row],[SERVICIO]],'SAPROV (2)'!I:J,2,FALSE)</f>
        <v>SERV0060</v>
      </c>
      <c r="N516" t="s">
        <v>611</v>
      </c>
      <c r="P516">
        <f>VLOOKUP(Tabla3[[#This Row],[FECHA]],TASA[],2,FALSE)</f>
        <v>344.51</v>
      </c>
      <c r="Q516" s="4">
        <f t="shared" si="72"/>
        <v>-7.2566834054163891</v>
      </c>
      <c r="R516" t="s">
        <v>1253</v>
      </c>
    </row>
    <row r="517" spans="1:18" x14ac:dyDescent="0.25">
      <c r="A517" s="33">
        <v>46042</v>
      </c>
      <c r="B517" s="1">
        <v>676262960008</v>
      </c>
      <c r="C517" s="2" t="s">
        <v>1251</v>
      </c>
      <c r="D517" s="34">
        <v>-2500</v>
      </c>
      <c r="E517" t="s">
        <v>20</v>
      </c>
      <c r="F517" s="2" t="e">
        <f>VLOOKUP(Tabla3[[#This Row],[CONTABLE]],'SAPROV (2)'!L:M,2,FALSE)</f>
        <v>#N/A</v>
      </c>
      <c r="H517" t="s">
        <v>588</v>
      </c>
      <c r="I517" s="2" t="str">
        <f>VLOOKUP(Tabla3[[#This Row],[Deposito]],'SAPROV (2)'!D:E,2,FALSE)</f>
        <v>A01</v>
      </c>
      <c r="K517" s="23" t="s">
        <v>23</v>
      </c>
      <c r="L517" s="2" t="str">
        <f>VLOOKUP(Tabla3[[#This Row],[PROVEEDOR]],'SAPROV (2)'!A:B,2,FALSE)</f>
        <v>04</v>
      </c>
      <c r="M517" t="str">
        <f>VLOOKUP(Tabla3[[#This Row],[SERVICIO]],'SAPROV (2)'!I:J,2,FALSE)</f>
        <v>SERV0060</v>
      </c>
      <c r="N517" t="s">
        <v>611</v>
      </c>
      <c r="P517">
        <f>VLOOKUP(Tabla3[[#This Row],[FECHA]],TASA[],2,FALSE)</f>
        <v>344.51</v>
      </c>
      <c r="Q517" s="4">
        <f t="shared" si="72"/>
        <v>-7.2566834054163891</v>
      </c>
      <c r="R517" t="s">
        <v>1253</v>
      </c>
    </row>
    <row r="518" spans="1:18" x14ac:dyDescent="0.25">
      <c r="A518" s="33">
        <v>46042</v>
      </c>
      <c r="B518" s="1">
        <v>676262964012</v>
      </c>
      <c r="C518" s="2" t="s">
        <v>1251</v>
      </c>
      <c r="D518" s="34">
        <v>-2500</v>
      </c>
      <c r="E518" t="s">
        <v>20</v>
      </c>
      <c r="F518" s="2" t="e">
        <f>VLOOKUP(Tabla3[[#This Row],[CONTABLE]],'SAPROV (2)'!L:M,2,FALSE)</f>
        <v>#N/A</v>
      </c>
      <c r="H518" t="s">
        <v>588</v>
      </c>
      <c r="I518" s="2" t="str">
        <f>VLOOKUP(Tabla3[[#This Row],[Deposito]],'SAPROV (2)'!D:E,2,FALSE)</f>
        <v>A01</v>
      </c>
      <c r="K518" s="23" t="s">
        <v>23</v>
      </c>
      <c r="L518" s="23" t="str">
        <f>VLOOKUP(Tabla3[[#This Row],[PROVEEDOR]],'SAPROV (2)'!A:B,2,FALSE)</f>
        <v>04</v>
      </c>
      <c r="M518" t="str">
        <f>VLOOKUP(Tabla3[[#This Row],[SERVICIO]],'SAPROV (2)'!I:J,2,FALSE)</f>
        <v>SERV0060</v>
      </c>
      <c r="N518" t="s">
        <v>611</v>
      </c>
      <c r="P518">
        <f>VLOOKUP(Tabla3[[#This Row],[FECHA]],TASA[],2,FALSE)</f>
        <v>344.51</v>
      </c>
      <c r="Q518" s="4">
        <f t="shared" ref="Q518:Q519" si="73">D518/P518</f>
        <v>-7.2566834054163891</v>
      </c>
      <c r="R518" t="s">
        <v>1253</v>
      </c>
    </row>
    <row r="519" spans="1:18" x14ac:dyDescent="0.25">
      <c r="A519" s="33">
        <v>46042</v>
      </c>
      <c r="B519" s="1">
        <v>676262962010</v>
      </c>
      <c r="C519" s="2" t="s">
        <v>1251</v>
      </c>
      <c r="D519" s="34">
        <v>-2500</v>
      </c>
      <c r="E519" t="s">
        <v>20</v>
      </c>
      <c r="F519" s="2" t="e">
        <f>VLOOKUP(Tabla3[[#This Row],[CONTABLE]],'SAPROV (2)'!L:M,2,FALSE)</f>
        <v>#N/A</v>
      </c>
      <c r="H519" t="s">
        <v>588</v>
      </c>
      <c r="I519" s="2" t="str">
        <f>VLOOKUP(Tabla3[[#This Row],[Deposito]],'SAPROV (2)'!D:E,2,FALSE)</f>
        <v>A01</v>
      </c>
      <c r="K519" s="23" t="s">
        <v>23</v>
      </c>
      <c r="L519" s="23" t="str">
        <f>VLOOKUP(Tabla3[[#This Row],[PROVEEDOR]],'SAPROV (2)'!A:B,2,FALSE)</f>
        <v>04</v>
      </c>
      <c r="M519" t="str">
        <f>VLOOKUP(Tabla3[[#This Row],[SERVICIO]],'SAPROV (2)'!I:J,2,FALSE)</f>
        <v>SERV0060</v>
      </c>
      <c r="N519" t="s">
        <v>611</v>
      </c>
      <c r="P519">
        <f>VLOOKUP(Tabla3[[#This Row],[FECHA]],TASA[],2,FALSE)</f>
        <v>344.51</v>
      </c>
      <c r="Q519" s="4">
        <f t="shared" si="73"/>
        <v>-7.2566834054163891</v>
      </c>
      <c r="R519" t="s">
        <v>1253</v>
      </c>
    </row>
    <row r="520" spans="1:18" x14ac:dyDescent="0.25">
      <c r="A520" s="33">
        <v>46042</v>
      </c>
      <c r="B520" s="1">
        <v>676262965013</v>
      </c>
      <c r="C520" s="2" t="s">
        <v>1251</v>
      </c>
      <c r="D520" s="34">
        <v>-2500</v>
      </c>
      <c r="E520" t="s">
        <v>20</v>
      </c>
      <c r="F520" s="2" t="e">
        <f>VLOOKUP(Tabla3[[#This Row],[CONTABLE]],'SAPROV (2)'!L:M,2,FALSE)</f>
        <v>#N/A</v>
      </c>
      <c r="H520" t="s">
        <v>588</v>
      </c>
      <c r="I520" s="2" t="str">
        <f>VLOOKUP(Tabla3[[#This Row],[Deposito]],'SAPROV (2)'!D:E,2,FALSE)</f>
        <v>A01</v>
      </c>
      <c r="K520" s="23" t="s">
        <v>23</v>
      </c>
      <c r="L520" s="2" t="str">
        <f>VLOOKUP(Tabla3[[#This Row],[PROVEEDOR]],'SAPROV (2)'!A:B,2,FALSE)</f>
        <v>04</v>
      </c>
      <c r="M520" t="str">
        <f>VLOOKUP(Tabla3[[#This Row],[SERVICIO]],'SAPROV (2)'!I:J,2,FALSE)</f>
        <v>SERV0060</v>
      </c>
      <c r="N520" t="s">
        <v>611</v>
      </c>
      <c r="P520">
        <f>VLOOKUP(Tabla3[[#This Row],[FECHA]],TASA[],2,FALSE)</f>
        <v>344.51</v>
      </c>
      <c r="Q520" s="4">
        <f t="shared" ref="Q520:Q521" si="74">D520/P520</f>
        <v>-7.2566834054163891</v>
      </c>
      <c r="R520" t="s">
        <v>1253</v>
      </c>
    </row>
    <row r="521" spans="1:18" x14ac:dyDescent="0.25">
      <c r="A521" s="33">
        <v>46042</v>
      </c>
      <c r="B521" s="1">
        <v>676262963011</v>
      </c>
      <c r="C521" s="2" t="s">
        <v>1251</v>
      </c>
      <c r="D521" s="34">
        <v>-2500</v>
      </c>
      <c r="E521" t="s">
        <v>20</v>
      </c>
      <c r="F521" s="2" t="e">
        <f>VLOOKUP(Tabla3[[#This Row],[CONTABLE]],'SAPROV (2)'!L:M,2,FALSE)</f>
        <v>#N/A</v>
      </c>
      <c r="H521" t="s">
        <v>588</v>
      </c>
      <c r="I521" s="2" t="str">
        <f>VLOOKUP(Tabla3[[#This Row],[Deposito]],'SAPROV (2)'!D:E,2,FALSE)</f>
        <v>A01</v>
      </c>
      <c r="K521" s="23" t="s">
        <v>23</v>
      </c>
      <c r="L521" s="23" t="str">
        <f>VLOOKUP(Tabla3[[#This Row],[PROVEEDOR]],'SAPROV (2)'!A:B,2,FALSE)</f>
        <v>04</v>
      </c>
      <c r="M521" t="str">
        <f>VLOOKUP(Tabla3[[#This Row],[SERVICIO]],'SAPROV (2)'!I:J,2,FALSE)</f>
        <v>SERV0060</v>
      </c>
      <c r="N521" t="s">
        <v>611</v>
      </c>
      <c r="P521">
        <f>VLOOKUP(Tabla3[[#This Row],[FECHA]],TASA[],2,FALSE)</f>
        <v>344.51</v>
      </c>
      <c r="Q521" s="4">
        <f t="shared" si="74"/>
        <v>-7.2566834054163891</v>
      </c>
      <c r="R521" t="s">
        <v>1253</v>
      </c>
    </row>
    <row r="522" spans="1:18" x14ac:dyDescent="0.25">
      <c r="A522" s="33">
        <v>46042</v>
      </c>
      <c r="B522" s="1">
        <v>676262967015</v>
      </c>
      <c r="C522" s="2" t="s">
        <v>1251</v>
      </c>
      <c r="D522" s="34">
        <v>-2500</v>
      </c>
      <c r="E522" t="s">
        <v>20</v>
      </c>
      <c r="F522" s="2" t="e">
        <f>VLOOKUP(Tabla3[[#This Row],[CONTABLE]],'SAPROV (2)'!L:M,2,FALSE)</f>
        <v>#N/A</v>
      </c>
      <c r="H522" t="s">
        <v>588</v>
      </c>
      <c r="I522" s="2" t="str">
        <f>VLOOKUP(Tabla3[[#This Row],[Deposito]],'SAPROV (2)'!D:E,2,FALSE)</f>
        <v>A01</v>
      </c>
      <c r="K522" s="23" t="s">
        <v>23</v>
      </c>
      <c r="L522" s="23" t="str">
        <f>VLOOKUP(Tabla3[[#This Row],[PROVEEDOR]],'SAPROV (2)'!A:B,2,FALSE)</f>
        <v>04</v>
      </c>
      <c r="M522" t="str">
        <f>VLOOKUP(Tabla3[[#This Row],[SERVICIO]],'SAPROV (2)'!I:J,2,FALSE)</f>
        <v>SERV0060</v>
      </c>
      <c r="N522" t="s">
        <v>611</v>
      </c>
      <c r="P522">
        <f>VLOOKUP(Tabla3[[#This Row],[FECHA]],TASA[],2,FALSE)</f>
        <v>344.51</v>
      </c>
      <c r="Q522" s="4">
        <f>D522/P522</f>
        <v>-7.2566834054163891</v>
      </c>
      <c r="R522" t="s">
        <v>1253</v>
      </c>
    </row>
    <row r="523" spans="1:18" x14ac:dyDescent="0.25">
      <c r="A523" s="33">
        <v>46042</v>
      </c>
      <c r="B523" s="1">
        <v>676262966014</v>
      </c>
      <c r="C523" s="2" t="s">
        <v>1251</v>
      </c>
      <c r="D523" s="34">
        <v>-2500</v>
      </c>
      <c r="E523" t="s">
        <v>20</v>
      </c>
      <c r="F523" s="2" t="e">
        <f>VLOOKUP(Tabla3[[#This Row],[CONTABLE]],'SAPROV (2)'!L:M,2,FALSE)</f>
        <v>#N/A</v>
      </c>
      <c r="H523" t="s">
        <v>588</v>
      </c>
      <c r="I523" s="2" t="str">
        <f>VLOOKUP(Tabla3[[#This Row],[Deposito]],'SAPROV (2)'!D:E,2,FALSE)</f>
        <v>A01</v>
      </c>
      <c r="K523" s="23" t="s">
        <v>23</v>
      </c>
      <c r="L523" s="2" t="str">
        <f>VLOOKUP(Tabla3[[#This Row],[PROVEEDOR]],'SAPROV (2)'!A:B,2,FALSE)</f>
        <v>04</v>
      </c>
      <c r="M523" t="str">
        <f>VLOOKUP(Tabla3[[#This Row],[SERVICIO]],'SAPROV (2)'!I:J,2,FALSE)</f>
        <v>SERV0060</v>
      </c>
      <c r="N523" t="s">
        <v>611</v>
      </c>
      <c r="P523">
        <f>VLOOKUP(Tabla3[[#This Row],[FECHA]],TASA[],2,FALSE)</f>
        <v>344.51</v>
      </c>
      <c r="Q523" s="4">
        <f t="shared" ref="Q523:Q524" si="75">D523/P523</f>
        <v>-7.2566834054163891</v>
      </c>
      <c r="R523" t="s">
        <v>1253</v>
      </c>
    </row>
    <row r="524" spans="1:18" x14ac:dyDescent="0.25">
      <c r="A524" s="33">
        <v>46042</v>
      </c>
      <c r="B524" s="1">
        <v>676262954002</v>
      </c>
      <c r="C524" s="2" t="s">
        <v>1251</v>
      </c>
      <c r="D524" s="34">
        <v>-2500</v>
      </c>
      <c r="E524" t="s">
        <v>20</v>
      </c>
      <c r="F524" s="2" t="e">
        <f>VLOOKUP(Tabla3[[#This Row],[CONTABLE]],'SAPROV (2)'!L:M,2,FALSE)</f>
        <v>#N/A</v>
      </c>
      <c r="H524" t="s">
        <v>588</v>
      </c>
      <c r="I524" s="2" t="str">
        <f>VLOOKUP(Tabla3[[#This Row],[Deposito]],'SAPROV (2)'!D:E,2,FALSE)</f>
        <v>A01</v>
      </c>
      <c r="K524" s="23" t="s">
        <v>23</v>
      </c>
      <c r="L524" s="23" t="str">
        <f>VLOOKUP(Tabla3[[#This Row],[PROVEEDOR]],'SAPROV (2)'!A:B,2,FALSE)</f>
        <v>04</v>
      </c>
      <c r="M524" t="str">
        <f>VLOOKUP(Tabla3[[#This Row],[SERVICIO]],'SAPROV (2)'!I:J,2,FALSE)</f>
        <v>SERV0060</v>
      </c>
      <c r="N524" t="s">
        <v>611</v>
      </c>
      <c r="P524">
        <f>VLOOKUP(Tabla3[[#This Row],[FECHA]],TASA[],2,FALSE)</f>
        <v>344.51</v>
      </c>
      <c r="Q524" s="4">
        <f t="shared" si="75"/>
        <v>-7.2566834054163891</v>
      </c>
      <c r="R524" t="s">
        <v>1253</v>
      </c>
    </row>
    <row r="525" spans="1:18" x14ac:dyDescent="0.25">
      <c r="A525" s="33">
        <v>46042</v>
      </c>
      <c r="B525" s="1">
        <v>676262957005</v>
      </c>
      <c r="C525" s="2" t="s">
        <v>1251</v>
      </c>
      <c r="D525" s="34">
        <v>-2500</v>
      </c>
      <c r="E525" t="s">
        <v>20</v>
      </c>
      <c r="F525" s="2" t="e">
        <f>VLOOKUP(Tabla3[[#This Row],[CONTABLE]],'SAPROV (2)'!L:M,2,FALSE)</f>
        <v>#N/A</v>
      </c>
      <c r="H525" t="s">
        <v>588</v>
      </c>
      <c r="I525" s="2" t="str">
        <f>VLOOKUP(Tabla3[[#This Row],[Deposito]],'SAPROV (2)'!D:E,2,FALSE)</f>
        <v>A01</v>
      </c>
      <c r="K525" s="23" t="s">
        <v>23</v>
      </c>
      <c r="L525" s="23" t="str">
        <f>VLOOKUP(Tabla3[[#This Row],[PROVEEDOR]],'SAPROV (2)'!A:B,2,FALSE)</f>
        <v>04</v>
      </c>
      <c r="M525" t="str">
        <f>VLOOKUP(Tabla3[[#This Row],[SERVICIO]],'SAPROV (2)'!I:J,2,FALSE)</f>
        <v>SERV0060</v>
      </c>
      <c r="N525" t="s">
        <v>611</v>
      </c>
      <c r="P525">
        <f>VLOOKUP(Tabla3[[#This Row],[FECHA]],TASA[],2,FALSE)</f>
        <v>344.51</v>
      </c>
      <c r="Q525" s="4">
        <f t="shared" ref="Q525:Q526" si="76">D525/P525</f>
        <v>-7.2566834054163891</v>
      </c>
      <c r="R525" t="s">
        <v>1253</v>
      </c>
    </row>
    <row r="526" spans="1:18" x14ac:dyDescent="0.25">
      <c r="A526" s="33">
        <v>46042</v>
      </c>
      <c r="B526" s="1">
        <v>676262969017</v>
      </c>
      <c r="C526" s="2" t="s">
        <v>1251</v>
      </c>
      <c r="D526" s="34">
        <v>-2500</v>
      </c>
      <c r="E526" t="s">
        <v>20</v>
      </c>
      <c r="F526" s="2" t="e">
        <f>VLOOKUP(Tabla3[[#This Row],[CONTABLE]],'SAPROV (2)'!L:M,2,FALSE)</f>
        <v>#N/A</v>
      </c>
      <c r="H526" t="s">
        <v>588</v>
      </c>
      <c r="I526" s="2" t="str">
        <f>VLOOKUP(Tabla3[[#This Row],[Deposito]],'SAPROV (2)'!D:E,2,FALSE)</f>
        <v>A01</v>
      </c>
      <c r="K526" s="23" t="s">
        <v>23</v>
      </c>
      <c r="L526" s="2" t="str">
        <f>VLOOKUP(Tabla3[[#This Row],[PROVEEDOR]],'SAPROV (2)'!A:B,2,FALSE)</f>
        <v>04</v>
      </c>
      <c r="M526" t="str">
        <f>VLOOKUP(Tabla3[[#This Row],[SERVICIO]],'SAPROV (2)'!I:J,2,FALSE)</f>
        <v>SERV0060</v>
      </c>
      <c r="N526" t="s">
        <v>611</v>
      </c>
      <c r="P526">
        <f>VLOOKUP(Tabla3[[#This Row],[FECHA]],TASA[],2,FALSE)</f>
        <v>344.51</v>
      </c>
      <c r="Q526" s="4">
        <f t="shared" si="76"/>
        <v>-7.2566834054163891</v>
      </c>
      <c r="R526" t="s">
        <v>1253</v>
      </c>
    </row>
    <row r="527" spans="1:18" x14ac:dyDescent="0.25">
      <c r="A527" s="33">
        <v>46042</v>
      </c>
      <c r="B527" s="1">
        <v>676262961009</v>
      </c>
      <c r="C527" s="2" t="s">
        <v>1251</v>
      </c>
      <c r="D527" s="34">
        <v>-2500</v>
      </c>
      <c r="E527" t="s">
        <v>20</v>
      </c>
      <c r="F527" s="2" t="e">
        <f>VLOOKUP(Tabla3[[#This Row],[CONTABLE]],'SAPROV (2)'!L:M,2,FALSE)</f>
        <v>#N/A</v>
      </c>
      <c r="H527" t="s">
        <v>588</v>
      </c>
      <c r="I527" s="2" t="str">
        <f>VLOOKUP(Tabla3[[#This Row],[Deposito]],'SAPROV (2)'!D:E,2,FALSE)</f>
        <v>A01</v>
      </c>
      <c r="K527" s="23" t="s">
        <v>23</v>
      </c>
      <c r="L527" s="23" t="str">
        <f>VLOOKUP(Tabla3[[#This Row],[PROVEEDOR]],'SAPROV (2)'!A:B,2,FALSE)</f>
        <v>04</v>
      </c>
      <c r="M527" t="str">
        <f>VLOOKUP(Tabla3[[#This Row],[SERVICIO]],'SAPROV (2)'!I:J,2,FALSE)</f>
        <v>SERV0060</v>
      </c>
      <c r="N527" t="s">
        <v>611</v>
      </c>
      <c r="P527">
        <f>VLOOKUP(Tabla3[[#This Row],[FECHA]],TASA[],2,FALSE)</f>
        <v>344.51</v>
      </c>
      <c r="Q527" s="4">
        <f>D527/P527</f>
        <v>-7.2566834054163891</v>
      </c>
      <c r="R527" t="s">
        <v>1253</v>
      </c>
    </row>
    <row r="528" spans="1:18" x14ac:dyDescent="0.25">
      <c r="A528" s="33">
        <v>46043</v>
      </c>
      <c r="B528" s="1">
        <v>676234760995</v>
      </c>
      <c r="C528" s="2" t="s">
        <v>1251</v>
      </c>
      <c r="D528" s="34">
        <v>-17500</v>
      </c>
      <c r="E528" t="s">
        <v>20</v>
      </c>
      <c r="F528" s="2" t="e">
        <f>VLOOKUP(Tabla3[[#This Row],[CONTABLE]],'SAPROV (2)'!L:M,2,FALSE)</f>
        <v>#N/A</v>
      </c>
      <c r="H528" t="s">
        <v>588</v>
      </c>
      <c r="I528" s="2" t="str">
        <f>VLOOKUP(Tabla3[[#This Row],[Deposito]],'SAPROV (2)'!D:E,2,FALSE)</f>
        <v>A01</v>
      </c>
      <c r="K528" s="23" t="s">
        <v>23</v>
      </c>
      <c r="L528" s="23" t="str">
        <f>VLOOKUP(Tabla3[[#This Row],[PROVEEDOR]],'SAPROV (2)'!A:B,2,FALSE)</f>
        <v>04</v>
      </c>
      <c r="M528" t="str">
        <f>VLOOKUP(Tabla3[[#This Row],[SERVICIO]],'SAPROV (2)'!I:J,2,FALSE)</f>
        <v>SERV0060</v>
      </c>
      <c r="N528" t="s">
        <v>611</v>
      </c>
      <c r="P528">
        <f>VLOOKUP(Tabla3[[#This Row],[FECHA]],TASA[],2,FALSE)</f>
        <v>347.26</v>
      </c>
      <c r="Q528" s="4">
        <f t="shared" ref="Q528:Q529" si="77">D528/P528</f>
        <v>-50.394517076542073</v>
      </c>
      <c r="R528" t="s">
        <v>1253</v>
      </c>
    </row>
    <row r="529" spans="1:18" x14ac:dyDescent="0.25">
      <c r="A529" s="33">
        <v>46043</v>
      </c>
      <c r="B529" s="1">
        <v>676283245004</v>
      </c>
      <c r="C529" s="2" t="s">
        <v>1251</v>
      </c>
      <c r="D529" s="34">
        <v>-292.3</v>
      </c>
      <c r="E529" t="s">
        <v>20</v>
      </c>
      <c r="F529" s="2" t="e">
        <f>VLOOKUP(Tabla3[[#This Row],[CONTABLE]],'SAPROV (2)'!L:M,2,FALSE)</f>
        <v>#N/A</v>
      </c>
      <c r="H529" t="s">
        <v>588</v>
      </c>
      <c r="I529" s="2" t="str">
        <f>VLOOKUP(Tabla3[[#This Row],[Deposito]],'SAPROV (2)'!D:E,2,FALSE)</f>
        <v>A01</v>
      </c>
      <c r="K529" s="23" t="s">
        <v>23</v>
      </c>
      <c r="L529" s="2" t="str">
        <f>VLOOKUP(Tabla3[[#This Row],[PROVEEDOR]],'SAPROV (2)'!A:B,2,FALSE)</f>
        <v>04</v>
      </c>
      <c r="M529" t="str">
        <f>VLOOKUP(Tabla3[[#This Row],[SERVICIO]],'SAPROV (2)'!I:J,2,FALSE)</f>
        <v>SERV0060</v>
      </c>
      <c r="N529" t="s">
        <v>611</v>
      </c>
      <c r="P529">
        <f>VLOOKUP(Tabla3[[#This Row],[FECHA]],TASA[],2,FALSE)</f>
        <v>347.26</v>
      </c>
      <c r="Q529" s="4">
        <f t="shared" si="77"/>
        <v>-0.84173241951275701</v>
      </c>
      <c r="R529" t="s">
        <v>1253</v>
      </c>
    </row>
    <row r="530" spans="1:18" x14ac:dyDescent="0.25">
      <c r="A530" s="33">
        <v>46043</v>
      </c>
      <c r="B530" s="1">
        <v>676283242001</v>
      </c>
      <c r="C530" s="2" t="s">
        <v>1251</v>
      </c>
      <c r="D530" s="34">
        <v>-13579.5</v>
      </c>
      <c r="E530" t="s">
        <v>20</v>
      </c>
      <c r="F530" s="2" t="e">
        <f>VLOOKUP(Tabla3[[#This Row],[CONTABLE]],'SAPROV (2)'!L:M,2,FALSE)</f>
        <v>#N/A</v>
      </c>
      <c r="H530" t="s">
        <v>588</v>
      </c>
      <c r="I530" s="2" t="str">
        <f>VLOOKUP(Tabla3[[#This Row],[Deposito]],'SAPROV (2)'!D:E,2,FALSE)</f>
        <v>A01</v>
      </c>
      <c r="K530" s="23" t="s">
        <v>23</v>
      </c>
      <c r="L530" s="23" t="str">
        <f>VLOOKUP(Tabla3[[#This Row],[PROVEEDOR]],'SAPROV (2)'!A:B,2,FALSE)</f>
        <v>04</v>
      </c>
      <c r="M530" t="str">
        <f>VLOOKUP(Tabla3[[#This Row],[SERVICIO]],'SAPROV (2)'!I:J,2,FALSE)</f>
        <v>SERV0060</v>
      </c>
      <c r="N530" t="s">
        <v>611</v>
      </c>
      <c r="P530">
        <f>VLOOKUP(Tabla3[[#This Row],[FECHA]],TASA[],2,FALSE)</f>
        <v>347.26</v>
      </c>
      <c r="Q530" s="4">
        <f>D530/P530</f>
        <v>-39.104705408051608</v>
      </c>
      <c r="R530" t="s">
        <v>1253</v>
      </c>
    </row>
    <row r="531" spans="1:18" x14ac:dyDescent="0.25">
      <c r="A531" s="33">
        <v>46043</v>
      </c>
      <c r="B531" s="1">
        <v>676283243002</v>
      </c>
      <c r="C531" s="2" t="s">
        <v>1251</v>
      </c>
      <c r="D531" s="34">
        <v>-2170.39</v>
      </c>
      <c r="E531" t="s">
        <v>20</v>
      </c>
      <c r="F531" s="2" t="e">
        <f>VLOOKUP(Tabla3[[#This Row],[CONTABLE]],'SAPROV (2)'!L:M,2,FALSE)</f>
        <v>#N/A</v>
      </c>
      <c r="H531" t="s">
        <v>588</v>
      </c>
      <c r="I531" s="2" t="str">
        <f>VLOOKUP(Tabla3[[#This Row],[Deposito]],'SAPROV (2)'!D:E,2,FALSE)</f>
        <v>A01</v>
      </c>
      <c r="K531" s="23" t="s">
        <v>23</v>
      </c>
      <c r="L531" s="23" t="str">
        <f>VLOOKUP(Tabla3[[#This Row],[PROVEEDOR]],'SAPROV (2)'!A:B,2,FALSE)</f>
        <v>04</v>
      </c>
      <c r="M531" t="str">
        <f>VLOOKUP(Tabla3[[#This Row],[SERVICIO]],'SAPROV (2)'!I:J,2,FALSE)</f>
        <v>SERV0060</v>
      </c>
      <c r="N531" t="s">
        <v>611</v>
      </c>
      <c r="P531">
        <f>VLOOKUP(Tabla3[[#This Row],[FECHA]],TASA[],2,FALSE)</f>
        <v>347.26</v>
      </c>
      <c r="Q531" s="4">
        <f t="shared" ref="Q531:Q532" si="78">D531/P531</f>
        <v>-6.2500431953003508</v>
      </c>
      <c r="R531" t="s">
        <v>1253</v>
      </c>
    </row>
    <row r="532" spans="1:18" x14ac:dyDescent="0.25">
      <c r="A532" s="33">
        <v>46043</v>
      </c>
      <c r="B532" s="1">
        <v>676283244003</v>
      </c>
      <c r="C532" s="2" t="s">
        <v>1251</v>
      </c>
      <c r="D532" s="34">
        <v>-737.93</v>
      </c>
      <c r="E532" t="s">
        <v>20</v>
      </c>
      <c r="F532" s="2" t="e">
        <f>VLOOKUP(Tabla3[[#This Row],[CONTABLE]],'SAPROV (2)'!L:M,2,FALSE)</f>
        <v>#N/A</v>
      </c>
      <c r="H532" t="s">
        <v>588</v>
      </c>
      <c r="I532" s="2" t="str">
        <f>VLOOKUP(Tabla3[[#This Row],[Deposito]],'SAPROV (2)'!D:E,2,FALSE)</f>
        <v>A01</v>
      </c>
      <c r="K532" s="23" t="s">
        <v>23</v>
      </c>
      <c r="L532" s="2" t="str">
        <f>VLOOKUP(Tabla3[[#This Row],[PROVEEDOR]],'SAPROV (2)'!A:B,2,FALSE)</f>
        <v>04</v>
      </c>
      <c r="M532" t="str">
        <f>VLOOKUP(Tabla3[[#This Row],[SERVICIO]],'SAPROV (2)'!I:J,2,FALSE)</f>
        <v>SERV0060</v>
      </c>
      <c r="N532" t="s">
        <v>611</v>
      </c>
      <c r="P532">
        <f>VLOOKUP(Tabla3[[#This Row],[FECHA]],TASA[],2,FALSE)</f>
        <v>347.26</v>
      </c>
      <c r="Q532" s="4">
        <f t="shared" si="78"/>
        <v>-2.125007199216725</v>
      </c>
      <c r="R532" t="s">
        <v>1253</v>
      </c>
    </row>
    <row r="533" spans="1:18" x14ac:dyDescent="0.25">
      <c r="A533" s="33">
        <v>46043</v>
      </c>
      <c r="B533" s="1">
        <v>676283246005</v>
      </c>
      <c r="C533" s="2" t="s">
        <v>1251</v>
      </c>
      <c r="D533" s="34">
        <v>-64.540000000000006</v>
      </c>
      <c r="E533" t="s">
        <v>20</v>
      </c>
      <c r="F533" s="2" t="e">
        <f>VLOOKUP(Tabla3[[#This Row],[CONTABLE]],'SAPROV (2)'!L:M,2,FALSE)</f>
        <v>#N/A</v>
      </c>
      <c r="H533" t="s">
        <v>588</v>
      </c>
      <c r="I533" s="2" t="str">
        <f>VLOOKUP(Tabla3[[#This Row],[Deposito]],'SAPROV (2)'!D:E,2,FALSE)</f>
        <v>A01</v>
      </c>
      <c r="K533" s="23" t="s">
        <v>23</v>
      </c>
      <c r="L533" s="23" t="str">
        <f>VLOOKUP(Tabla3[[#This Row],[PROVEEDOR]],'SAPROV (2)'!A:B,2,FALSE)</f>
        <v>04</v>
      </c>
      <c r="M533" t="str">
        <f>VLOOKUP(Tabla3[[#This Row],[SERVICIO]],'SAPROV (2)'!I:J,2,FALSE)</f>
        <v>SERV0060</v>
      </c>
      <c r="N533" t="s">
        <v>611</v>
      </c>
      <c r="P533">
        <f>VLOOKUP(Tabla3[[#This Row],[FECHA]],TASA[],2,FALSE)</f>
        <v>347.26</v>
      </c>
      <c r="Q533" s="4">
        <f>D533/P533</f>
        <v>-0.18585497897828718</v>
      </c>
      <c r="R533" t="s">
        <v>1253</v>
      </c>
    </row>
    <row r="534" spans="1:18" x14ac:dyDescent="0.25">
      <c r="A534" s="33">
        <v>46044</v>
      </c>
      <c r="B534" s="1">
        <v>676245883002</v>
      </c>
      <c r="C534" s="2" t="s">
        <v>1251</v>
      </c>
      <c r="D534" s="34">
        <v>-52.05</v>
      </c>
      <c r="E534" t="s">
        <v>20</v>
      </c>
      <c r="F534" s="2" t="e">
        <f>VLOOKUP(Tabla3[[#This Row],[CONTABLE]],'SAPROV (2)'!L:M,2,FALSE)</f>
        <v>#N/A</v>
      </c>
      <c r="H534" t="s">
        <v>588</v>
      </c>
      <c r="I534" s="2" t="str">
        <f>VLOOKUP(Tabla3[[#This Row],[Deposito]],'SAPROV (2)'!D:E,2,FALSE)</f>
        <v>A01</v>
      </c>
      <c r="K534" s="23" t="s">
        <v>23</v>
      </c>
      <c r="L534" s="23" t="str">
        <f>VLOOKUP(Tabla3[[#This Row],[PROVEEDOR]],'SAPROV (2)'!A:B,2,FALSE)</f>
        <v>04</v>
      </c>
      <c r="M534" t="str">
        <f>VLOOKUP(Tabla3[[#This Row],[SERVICIO]],'SAPROV (2)'!I:J,2,FALSE)</f>
        <v>SERV0060</v>
      </c>
      <c r="N534" t="s">
        <v>611</v>
      </c>
      <c r="P534">
        <f>VLOOKUP(Tabla3[[#This Row],[FECHA]],TASA[],2,FALSE)</f>
        <v>349.93</v>
      </c>
      <c r="Q534" s="4">
        <f>D534/P534</f>
        <v>-0.14874403452118995</v>
      </c>
      <c r="R534" t="s">
        <v>1253</v>
      </c>
    </row>
    <row r="535" spans="1:18" x14ac:dyDescent="0.25">
      <c r="A535" s="33">
        <v>46044</v>
      </c>
      <c r="B535" s="1">
        <v>676245884003</v>
      </c>
      <c r="C535" s="2" t="s">
        <v>1251</v>
      </c>
      <c r="D535" s="34">
        <v>-127.15</v>
      </c>
      <c r="E535" t="s">
        <v>20</v>
      </c>
      <c r="F535" s="2" t="e">
        <f>VLOOKUP(Tabla3[[#This Row],[CONTABLE]],'SAPROV (2)'!L:M,2,FALSE)</f>
        <v>#N/A</v>
      </c>
      <c r="H535" t="s">
        <v>588</v>
      </c>
      <c r="I535" s="2" t="str">
        <f>VLOOKUP(Tabla3[[#This Row],[Deposito]],'SAPROV (2)'!D:E,2,FALSE)</f>
        <v>A01</v>
      </c>
      <c r="K535" s="23" t="s">
        <v>23</v>
      </c>
      <c r="L535" s="2" t="str">
        <f>VLOOKUP(Tabla3[[#This Row],[PROVEEDOR]],'SAPROV (2)'!A:B,2,FALSE)</f>
        <v>04</v>
      </c>
      <c r="M535" t="str">
        <f>VLOOKUP(Tabla3[[#This Row],[SERVICIO]],'SAPROV (2)'!I:J,2,FALSE)</f>
        <v>SERV0060</v>
      </c>
      <c r="N535" t="s">
        <v>611</v>
      </c>
      <c r="P535">
        <f>VLOOKUP(Tabla3[[#This Row],[FECHA]],TASA[],2,FALSE)</f>
        <v>349.93</v>
      </c>
      <c r="Q535" s="4">
        <f t="shared" ref="Q535:Q536" si="79">D535/P535</f>
        <v>-0.36335838596290687</v>
      </c>
      <c r="R535" t="s">
        <v>1253</v>
      </c>
    </row>
    <row r="536" spans="1:18" x14ac:dyDescent="0.25">
      <c r="A536" s="33">
        <v>46044</v>
      </c>
      <c r="B536" s="1">
        <v>676245885004</v>
      </c>
      <c r="C536" s="2" t="s">
        <v>1251</v>
      </c>
      <c r="D536" s="34">
        <v>-201.29</v>
      </c>
      <c r="E536" t="s">
        <v>20</v>
      </c>
      <c r="F536" s="2" t="e">
        <f>VLOOKUP(Tabla3[[#This Row],[CONTABLE]],'SAPROV (2)'!L:M,2,FALSE)</f>
        <v>#N/A</v>
      </c>
      <c r="H536" t="s">
        <v>588</v>
      </c>
      <c r="I536" s="2" t="str">
        <f>VLOOKUP(Tabla3[[#This Row],[Deposito]],'SAPROV (2)'!D:E,2,FALSE)</f>
        <v>A01</v>
      </c>
      <c r="K536" s="23" t="s">
        <v>23</v>
      </c>
      <c r="L536" s="23" t="str">
        <f>VLOOKUP(Tabla3[[#This Row],[PROVEEDOR]],'SAPROV (2)'!A:B,2,FALSE)</f>
        <v>04</v>
      </c>
      <c r="M536" t="str">
        <f>VLOOKUP(Tabla3[[#This Row],[SERVICIO]],'SAPROV (2)'!I:J,2,FALSE)</f>
        <v>SERV0060</v>
      </c>
      <c r="N536" t="s">
        <v>611</v>
      </c>
      <c r="P536">
        <f>VLOOKUP(Tabla3[[#This Row],[FECHA]],TASA[],2,FALSE)</f>
        <v>349.93</v>
      </c>
      <c r="Q536" s="4">
        <f t="shared" si="79"/>
        <v>-0.57522933158060185</v>
      </c>
      <c r="R536" t="s">
        <v>1253</v>
      </c>
    </row>
    <row r="537" spans="1:18" x14ac:dyDescent="0.25">
      <c r="A537" s="33">
        <v>46044</v>
      </c>
      <c r="B537" s="1">
        <v>676245882001</v>
      </c>
      <c r="C537" s="2" t="s">
        <v>1251</v>
      </c>
      <c r="D537" s="34">
        <v>-718.05</v>
      </c>
      <c r="E537" t="s">
        <v>20</v>
      </c>
      <c r="F537" s="2" t="e">
        <f>VLOOKUP(Tabla3[[#This Row],[CONTABLE]],'SAPROV (2)'!L:M,2,FALSE)</f>
        <v>#N/A</v>
      </c>
      <c r="H537" t="s">
        <v>588</v>
      </c>
      <c r="I537" s="2" t="str">
        <f>VLOOKUP(Tabla3[[#This Row],[Deposito]],'SAPROV (2)'!D:E,2,FALSE)</f>
        <v>A01</v>
      </c>
      <c r="K537" s="23" t="s">
        <v>23</v>
      </c>
      <c r="L537" s="23" t="str">
        <f>VLOOKUP(Tabla3[[#This Row],[PROVEEDOR]],'SAPROV (2)'!A:B,2,FALSE)</f>
        <v>04</v>
      </c>
      <c r="M537" t="str">
        <f>VLOOKUP(Tabla3[[#This Row],[SERVICIO]],'SAPROV (2)'!I:J,2,FALSE)</f>
        <v>SERV0060</v>
      </c>
      <c r="N537" t="s">
        <v>611</v>
      </c>
      <c r="P537">
        <f>VLOOKUP(Tabla3[[#This Row],[FECHA]],TASA[],2,FALSE)</f>
        <v>349.93</v>
      </c>
      <c r="Q537" s="4">
        <f>D537/P537</f>
        <v>-2.0519818249364157</v>
      </c>
      <c r="R537" t="s">
        <v>1253</v>
      </c>
    </row>
    <row r="538" spans="1:18" x14ac:dyDescent="0.25">
      <c r="A538" s="33">
        <v>46044</v>
      </c>
      <c r="B538" s="1">
        <v>676234952286</v>
      </c>
      <c r="C538" s="2" t="s">
        <v>1251</v>
      </c>
      <c r="D538" s="34">
        <v>-25000</v>
      </c>
      <c r="E538" t="s">
        <v>20</v>
      </c>
      <c r="F538" s="2" t="e">
        <f>VLOOKUP(Tabla3[[#This Row],[CONTABLE]],'SAPROV (2)'!L:M,2,FALSE)</f>
        <v>#N/A</v>
      </c>
      <c r="H538" t="s">
        <v>588</v>
      </c>
      <c r="I538" s="2" t="str">
        <f>VLOOKUP(Tabla3[[#This Row],[Deposito]],'SAPROV (2)'!D:E,2,FALSE)</f>
        <v>A01</v>
      </c>
      <c r="K538" s="23" t="s">
        <v>23</v>
      </c>
      <c r="L538" s="2" t="str">
        <f>VLOOKUP(Tabla3[[#This Row],[PROVEEDOR]],'SAPROV (2)'!A:B,2,FALSE)</f>
        <v>04</v>
      </c>
      <c r="M538" t="str">
        <f>VLOOKUP(Tabla3[[#This Row],[SERVICIO]],'SAPROV (2)'!I:J,2,FALSE)</f>
        <v>SERV0060</v>
      </c>
      <c r="N538" t="s">
        <v>611</v>
      </c>
      <c r="P538">
        <f>VLOOKUP(Tabla3[[#This Row],[FECHA]],TASA[],2,FALSE)</f>
        <v>349.93</v>
      </c>
      <c r="Q538" s="4">
        <f>D538/P538</f>
        <v>-71.442860000571542</v>
      </c>
      <c r="R538" t="s">
        <v>1253</v>
      </c>
    </row>
    <row r="539" spans="1:18" x14ac:dyDescent="0.25">
      <c r="A539" s="33">
        <v>46045</v>
      </c>
      <c r="B539" s="1">
        <v>676235072060</v>
      </c>
      <c r="C539" s="2" t="s">
        <v>1251</v>
      </c>
      <c r="D539" s="34">
        <v>-17500</v>
      </c>
      <c r="E539" t="s">
        <v>20</v>
      </c>
      <c r="F539" s="2" t="e">
        <f>VLOOKUP(Tabla3[[#This Row],[CONTABLE]],'SAPROV (2)'!L:M,2,FALSE)</f>
        <v>#N/A</v>
      </c>
      <c r="H539" t="s">
        <v>588</v>
      </c>
      <c r="I539" s="2" t="str">
        <f>VLOOKUP(Tabla3[[#This Row],[Deposito]],'SAPROV (2)'!D:E,2,FALSE)</f>
        <v>A01</v>
      </c>
      <c r="K539" s="23" t="s">
        <v>23</v>
      </c>
      <c r="L539" s="23" t="str">
        <f>VLOOKUP(Tabla3[[#This Row],[PROVEEDOR]],'SAPROV (2)'!A:B,2,FALSE)</f>
        <v>04</v>
      </c>
      <c r="M539" t="str">
        <f>VLOOKUP(Tabla3[[#This Row],[SERVICIO]],'SAPROV (2)'!I:J,2,FALSE)</f>
        <v>SERV0060</v>
      </c>
      <c r="N539" t="s">
        <v>611</v>
      </c>
      <c r="P539">
        <f>VLOOKUP(Tabla3[[#This Row],[FECHA]],TASA[],2,FALSE)</f>
        <v>352.71</v>
      </c>
      <c r="Q539" s="4">
        <f>D539/P539</f>
        <v>-49.615831703098863</v>
      </c>
      <c r="R539" t="s">
        <v>1253</v>
      </c>
    </row>
    <row r="540" spans="1:18" x14ac:dyDescent="0.25">
      <c r="A540" s="33">
        <v>46045</v>
      </c>
      <c r="B540" s="1">
        <v>676277293008</v>
      </c>
      <c r="C540" s="2" t="s">
        <v>1251</v>
      </c>
      <c r="D540" s="34">
        <v>-507.11</v>
      </c>
      <c r="E540" t="s">
        <v>20</v>
      </c>
      <c r="F540" s="2" t="e">
        <f>VLOOKUP(Tabla3[[#This Row],[CONTABLE]],'SAPROV (2)'!L:M,2,FALSE)</f>
        <v>#N/A</v>
      </c>
      <c r="H540" t="s">
        <v>588</v>
      </c>
      <c r="I540" s="2" t="str">
        <f>VLOOKUP(Tabla3[[#This Row],[Deposito]],'SAPROV (2)'!D:E,2,FALSE)</f>
        <v>A01</v>
      </c>
      <c r="K540" s="23" t="s">
        <v>23</v>
      </c>
      <c r="L540" s="23" t="str">
        <f>VLOOKUP(Tabla3[[#This Row],[PROVEEDOR]],'SAPROV (2)'!A:B,2,FALSE)</f>
        <v>04</v>
      </c>
      <c r="M540" t="str">
        <f>VLOOKUP(Tabla3[[#This Row],[SERVICIO]],'SAPROV (2)'!I:J,2,FALSE)</f>
        <v>SERV0060</v>
      </c>
      <c r="N540" t="s">
        <v>611</v>
      </c>
      <c r="P540">
        <f>VLOOKUP(Tabla3[[#This Row],[FECHA]],TASA[],2,FALSE)</f>
        <v>352.71</v>
      </c>
      <c r="Q540" s="4">
        <f>D540/P540</f>
        <v>-1.4377533951404837</v>
      </c>
      <c r="R540" t="s">
        <v>1253</v>
      </c>
    </row>
    <row r="541" spans="1:18" x14ac:dyDescent="0.25">
      <c r="A541" s="33">
        <v>46045</v>
      </c>
      <c r="B541" s="1">
        <v>676277294009</v>
      </c>
      <c r="C541" s="2" t="s">
        <v>1251</v>
      </c>
      <c r="D541" s="34">
        <v>-288.44</v>
      </c>
      <c r="E541" t="s">
        <v>20</v>
      </c>
      <c r="F541" s="2" t="e">
        <f>VLOOKUP(Tabla3[[#This Row],[CONTABLE]],'SAPROV (2)'!L:M,2,FALSE)</f>
        <v>#N/A</v>
      </c>
      <c r="H541" t="s">
        <v>588</v>
      </c>
      <c r="I541" s="2" t="str">
        <f>VLOOKUP(Tabla3[[#This Row],[Deposito]],'SAPROV (2)'!D:E,2,FALSE)</f>
        <v>A01</v>
      </c>
      <c r="K541" s="23" t="s">
        <v>23</v>
      </c>
      <c r="L541" s="2" t="str">
        <f>VLOOKUP(Tabla3[[#This Row],[PROVEEDOR]],'SAPROV (2)'!A:B,2,FALSE)</f>
        <v>04</v>
      </c>
      <c r="M541" t="str">
        <f>VLOOKUP(Tabla3[[#This Row],[SERVICIO]],'SAPROV (2)'!I:J,2,FALSE)</f>
        <v>SERV0060</v>
      </c>
      <c r="N541" t="s">
        <v>611</v>
      </c>
      <c r="P541">
        <f>VLOOKUP(Tabla3[[#This Row],[FECHA]],TASA[],2,FALSE)</f>
        <v>352.71</v>
      </c>
      <c r="Q541" s="4">
        <f>D541/P541</f>
        <v>-0.81778231408239066</v>
      </c>
      <c r="R541" t="s">
        <v>1253</v>
      </c>
    </row>
    <row r="542" spans="1:18" x14ac:dyDescent="0.25">
      <c r="A542" s="33">
        <v>46045</v>
      </c>
      <c r="B542" s="1">
        <v>676277288003</v>
      </c>
      <c r="C542" s="2" t="s">
        <v>1251</v>
      </c>
      <c r="D542" s="34">
        <v>-100.52</v>
      </c>
      <c r="E542" t="s">
        <v>20</v>
      </c>
      <c r="F542" s="2" t="e">
        <f>VLOOKUP(Tabla3[[#This Row],[CONTABLE]],'SAPROV (2)'!L:M,2,FALSE)</f>
        <v>#N/A</v>
      </c>
      <c r="H542" t="s">
        <v>588</v>
      </c>
      <c r="I542" s="2" t="str">
        <f>VLOOKUP(Tabla3[[#This Row],[Deposito]],'SAPROV (2)'!D:E,2,FALSE)</f>
        <v>A01</v>
      </c>
      <c r="K542" s="23" t="s">
        <v>23</v>
      </c>
      <c r="L542" s="23" t="str">
        <f>VLOOKUP(Tabla3[[#This Row],[PROVEEDOR]],'SAPROV (2)'!A:B,2,FALSE)</f>
        <v>04</v>
      </c>
      <c r="M542" t="str">
        <f>VLOOKUP(Tabla3[[#This Row],[SERVICIO]],'SAPROV (2)'!I:J,2,FALSE)</f>
        <v>SERV0060</v>
      </c>
      <c r="N542" t="s">
        <v>611</v>
      </c>
      <c r="P542">
        <f>VLOOKUP(Tabla3[[#This Row],[FECHA]],TASA[],2,FALSE)</f>
        <v>352.71</v>
      </c>
      <c r="Q542" s="4">
        <f t="shared" ref="Q542:Q544" si="80">D542/P542</f>
        <v>-0.28499333730259985</v>
      </c>
      <c r="R542" t="s">
        <v>1253</v>
      </c>
    </row>
    <row r="543" spans="1:18" x14ac:dyDescent="0.25">
      <c r="A543" s="33">
        <v>46045</v>
      </c>
      <c r="B543" s="1">
        <v>676277290005</v>
      </c>
      <c r="C543" s="2" t="s">
        <v>1251</v>
      </c>
      <c r="D543" s="34">
        <v>-469.8</v>
      </c>
      <c r="E543" t="s">
        <v>20</v>
      </c>
      <c r="F543" s="2" t="e">
        <f>VLOOKUP(Tabla3[[#This Row],[CONTABLE]],'SAPROV (2)'!L:M,2,FALSE)</f>
        <v>#N/A</v>
      </c>
      <c r="H543" t="s">
        <v>588</v>
      </c>
      <c r="I543" s="2" t="str">
        <f>VLOOKUP(Tabla3[[#This Row],[Deposito]],'SAPROV (2)'!D:E,2,FALSE)</f>
        <v>A01</v>
      </c>
      <c r="K543" s="23" t="s">
        <v>23</v>
      </c>
      <c r="L543" s="23" t="str">
        <f>VLOOKUP(Tabla3[[#This Row],[PROVEEDOR]],'SAPROV (2)'!A:B,2,FALSE)</f>
        <v>04</v>
      </c>
      <c r="M543" t="str">
        <f>VLOOKUP(Tabla3[[#This Row],[SERVICIO]],'SAPROV (2)'!I:J,2,FALSE)</f>
        <v>SERV0060</v>
      </c>
      <c r="N543" t="s">
        <v>611</v>
      </c>
      <c r="P543">
        <f>VLOOKUP(Tabla3[[#This Row],[FECHA]],TASA[],2,FALSE)</f>
        <v>352.71</v>
      </c>
      <c r="Q543" s="4">
        <f t="shared" si="80"/>
        <v>-1.3319724419494769</v>
      </c>
      <c r="R543" t="s">
        <v>1253</v>
      </c>
    </row>
    <row r="544" spans="1:18" x14ac:dyDescent="0.25">
      <c r="A544" s="33">
        <v>46045</v>
      </c>
      <c r="B544" s="1">
        <v>676277296011</v>
      </c>
      <c r="C544" s="2" t="s">
        <v>1251</v>
      </c>
      <c r="D544" s="34">
        <v>-256.33</v>
      </c>
      <c r="E544" t="s">
        <v>20</v>
      </c>
      <c r="F544" s="2" t="e">
        <f>VLOOKUP(Tabla3[[#This Row],[CONTABLE]],'SAPROV (2)'!L:M,2,FALSE)</f>
        <v>#N/A</v>
      </c>
      <c r="H544" t="s">
        <v>588</v>
      </c>
      <c r="I544" s="2" t="str">
        <f>VLOOKUP(Tabla3[[#This Row],[Deposito]],'SAPROV (2)'!D:E,2,FALSE)</f>
        <v>A01</v>
      </c>
      <c r="K544" s="23" t="s">
        <v>23</v>
      </c>
      <c r="L544" s="2" t="str">
        <f>VLOOKUP(Tabla3[[#This Row],[PROVEEDOR]],'SAPROV (2)'!A:B,2,FALSE)</f>
        <v>04</v>
      </c>
      <c r="M544" t="str">
        <f>VLOOKUP(Tabla3[[#This Row],[SERVICIO]],'SAPROV (2)'!I:J,2,FALSE)</f>
        <v>SERV0060</v>
      </c>
      <c r="N544" t="s">
        <v>611</v>
      </c>
      <c r="P544">
        <f>VLOOKUP(Tabla3[[#This Row],[FECHA]],TASA[],2,FALSE)</f>
        <v>352.71</v>
      </c>
      <c r="Q544" s="4">
        <f t="shared" si="80"/>
        <v>-0.7267443508831618</v>
      </c>
      <c r="R544" t="s">
        <v>1253</v>
      </c>
    </row>
    <row r="545" spans="1:18" x14ac:dyDescent="0.25">
      <c r="A545" s="33">
        <v>46045</v>
      </c>
      <c r="B545" s="1">
        <v>676277291006</v>
      </c>
      <c r="C545" s="2" t="s">
        <v>1251</v>
      </c>
      <c r="D545" s="34">
        <v>-182.7</v>
      </c>
      <c r="E545" t="s">
        <v>20</v>
      </c>
      <c r="F545" s="2" t="e">
        <f>VLOOKUP(Tabla3[[#This Row],[CONTABLE]],'SAPROV (2)'!L:M,2,FALSE)</f>
        <v>#N/A</v>
      </c>
      <c r="H545" t="s">
        <v>588</v>
      </c>
      <c r="I545" s="2" t="str">
        <f>VLOOKUP(Tabla3[[#This Row],[Deposito]],'SAPROV (2)'!D:E,2,FALSE)</f>
        <v>A01</v>
      </c>
      <c r="K545" s="23" t="s">
        <v>23</v>
      </c>
      <c r="L545" s="23" t="str">
        <f>VLOOKUP(Tabla3[[#This Row],[PROVEEDOR]],'SAPROV (2)'!A:B,2,FALSE)</f>
        <v>04</v>
      </c>
      <c r="M545" t="str">
        <f>VLOOKUP(Tabla3[[#This Row],[SERVICIO]],'SAPROV (2)'!I:J,2,FALSE)</f>
        <v>SERV0060</v>
      </c>
      <c r="N545" t="s">
        <v>611</v>
      </c>
      <c r="P545">
        <f>VLOOKUP(Tabla3[[#This Row],[FECHA]],TASA[],2,FALSE)</f>
        <v>352.71</v>
      </c>
      <c r="Q545" s="4">
        <f t="shared" ref="Q545:Q552" si="81">D545/P545</f>
        <v>-0.51798928298035218</v>
      </c>
      <c r="R545" t="s">
        <v>1253</v>
      </c>
    </row>
    <row r="546" spans="1:18" x14ac:dyDescent="0.25">
      <c r="A546" s="33">
        <v>46045</v>
      </c>
      <c r="B546" s="1">
        <v>676277295010</v>
      </c>
      <c r="C546" s="2" t="s">
        <v>1251</v>
      </c>
      <c r="D546" s="34">
        <v>-1988.2</v>
      </c>
      <c r="E546" t="s">
        <v>20</v>
      </c>
      <c r="F546" s="2" t="e">
        <f>VLOOKUP(Tabla3[[#This Row],[CONTABLE]],'SAPROV (2)'!L:M,2,FALSE)</f>
        <v>#N/A</v>
      </c>
      <c r="H546" t="s">
        <v>588</v>
      </c>
      <c r="I546" s="2" t="str">
        <f>VLOOKUP(Tabla3[[#This Row],[Deposito]],'SAPROV (2)'!D:E,2,FALSE)</f>
        <v>A01</v>
      </c>
      <c r="K546" s="23" t="s">
        <v>23</v>
      </c>
      <c r="L546" s="23" t="str">
        <f>VLOOKUP(Tabla3[[#This Row],[PROVEEDOR]],'SAPROV (2)'!A:B,2,FALSE)</f>
        <v>04</v>
      </c>
      <c r="M546" t="str">
        <f>VLOOKUP(Tabla3[[#This Row],[SERVICIO]],'SAPROV (2)'!I:J,2,FALSE)</f>
        <v>SERV0060</v>
      </c>
      <c r="N546" t="s">
        <v>611</v>
      </c>
      <c r="P546">
        <f>VLOOKUP(Tabla3[[#This Row],[FECHA]],TASA[],2,FALSE)</f>
        <v>352.71</v>
      </c>
      <c r="Q546" s="4">
        <f t="shared" si="81"/>
        <v>-5.6369255195486385</v>
      </c>
      <c r="R546" t="s">
        <v>1253</v>
      </c>
    </row>
    <row r="547" spans="1:18" x14ac:dyDescent="0.25">
      <c r="A547" s="33">
        <v>46045</v>
      </c>
      <c r="B547" s="1">
        <v>676277292007</v>
      </c>
      <c r="C547" s="2" t="s">
        <v>1251</v>
      </c>
      <c r="D547" s="34">
        <v>-379.75</v>
      </c>
      <c r="E547" t="s">
        <v>20</v>
      </c>
      <c r="F547" s="2" t="e">
        <f>VLOOKUP(Tabla3[[#This Row],[CONTABLE]],'SAPROV (2)'!L:M,2,FALSE)</f>
        <v>#N/A</v>
      </c>
      <c r="H547" t="s">
        <v>588</v>
      </c>
      <c r="I547" s="2" t="str">
        <f>VLOOKUP(Tabla3[[#This Row],[Deposito]],'SAPROV (2)'!D:E,2,FALSE)</f>
        <v>A01</v>
      </c>
      <c r="K547" s="23" t="s">
        <v>23</v>
      </c>
      <c r="L547" s="2" t="str">
        <f>VLOOKUP(Tabla3[[#This Row],[PROVEEDOR]],'SAPROV (2)'!A:B,2,FALSE)</f>
        <v>04</v>
      </c>
      <c r="M547" t="str">
        <f>VLOOKUP(Tabla3[[#This Row],[SERVICIO]],'SAPROV (2)'!I:J,2,FALSE)</f>
        <v>SERV0060</v>
      </c>
      <c r="N547" t="s">
        <v>611</v>
      </c>
      <c r="P547">
        <f>VLOOKUP(Tabla3[[#This Row],[FECHA]],TASA[],2,FALSE)</f>
        <v>352.71</v>
      </c>
      <c r="Q547" s="4">
        <f t="shared" si="81"/>
        <v>-1.0766635479572453</v>
      </c>
      <c r="R547" t="s">
        <v>1253</v>
      </c>
    </row>
    <row r="548" spans="1:18" x14ac:dyDescent="0.25">
      <c r="A548" s="33">
        <v>46045</v>
      </c>
      <c r="B548" s="1">
        <v>676277289004</v>
      </c>
      <c r="C548" s="2" t="s">
        <v>1251</v>
      </c>
      <c r="D548" s="34">
        <v>-9.6199999999999992</v>
      </c>
      <c r="E548" t="s">
        <v>20</v>
      </c>
      <c r="F548" s="2" t="e">
        <f>VLOOKUP(Tabla3[[#This Row],[CONTABLE]],'SAPROV (2)'!L:M,2,FALSE)</f>
        <v>#N/A</v>
      </c>
      <c r="H548" t="s">
        <v>588</v>
      </c>
      <c r="I548" s="2" t="str">
        <f>VLOOKUP(Tabla3[[#This Row],[Deposito]],'SAPROV (2)'!D:E,2,FALSE)</f>
        <v>A01</v>
      </c>
      <c r="K548" s="23" t="s">
        <v>23</v>
      </c>
      <c r="L548" s="23" t="str">
        <f>VLOOKUP(Tabla3[[#This Row],[PROVEEDOR]],'SAPROV (2)'!A:B,2,FALSE)</f>
        <v>04</v>
      </c>
      <c r="M548" t="str">
        <f>VLOOKUP(Tabla3[[#This Row],[SERVICIO]],'SAPROV (2)'!I:J,2,FALSE)</f>
        <v>SERV0060</v>
      </c>
      <c r="N548" t="s">
        <v>611</v>
      </c>
      <c r="P548">
        <f>VLOOKUP(Tabla3[[#This Row],[FECHA]],TASA[],2,FALSE)</f>
        <v>352.71</v>
      </c>
      <c r="Q548" s="4">
        <f t="shared" si="81"/>
        <v>-2.7274531484789203E-2</v>
      </c>
      <c r="R548" t="s">
        <v>1253</v>
      </c>
    </row>
    <row r="549" spans="1:18" x14ac:dyDescent="0.25">
      <c r="A549" s="33">
        <v>46045</v>
      </c>
      <c r="B549" s="1">
        <v>676277286001</v>
      </c>
      <c r="C549" s="2" t="s">
        <v>1251</v>
      </c>
      <c r="D549" s="34">
        <v>-120.81</v>
      </c>
      <c r="E549" t="s">
        <v>20</v>
      </c>
      <c r="F549" s="2" t="e">
        <f>VLOOKUP(Tabla3[[#This Row],[CONTABLE]],'SAPROV (2)'!L:M,2,FALSE)</f>
        <v>#N/A</v>
      </c>
      <c r="H549" t="s">
        <v>588</v>
      </c>
      <c r="I549" s="2" t="str">
        <f>VLOOKUP(Tabla3[[#This Row],[Deposito]],'SAPROV (2)'!D:E,2,FALSE)</f>
        <v>A01</v>
      </c>
      <c r="K549" s="23" t="s">
        <v>23</v>
      </c>
      <c r="L549" s="23" t="str">
        <f>VLOOKUP(Tabla3[[#This Row],[PROVEEDOR]],'SAPROV (2)'!A:B,2,FALSE)</f>
        <v>04</v>
      </c>
      <c r="M549" t="str">
        <f>VLOOKUP(Tabla3[[#This Row],[SERVICIO]],'SAPROV (2)'!I:J,2,FALSE)</f>
        <v>SERV0060</v>
      </c>
      <c r="N549" t="s">
        <v>611</v>
      </c>
      <c r="P549">
        <f>VLOOKUP(Tabla3[[#This Row],[FECHA]],TASA[],2,FALSE)</f>
        <v>352.71</v>
      </c>
      <c r="Q549" s="4">
        <f t="shared" si="81"/>
        <v>-0.34251935017436425</v>
      </c>
      <c r="R549" t="s">
        <v>1253</v>
      </c>
    </row>
    <row r="550" spans="1:18" x14ac:dyDescent="0.25">
      <c r="A550" s="33">
        <v>46045</v>
      </c>
      <c r="B550" s="1">
        <v>676277287002</v>
      </c>
      <c r="C550" s="2" t="s">
        <v>1251</v>
      </c>
      <c r="D550" s="34">
        <v>-41.7</v>
      </c>
      <c r="E550" t="s">
        <v>20</v>
      </c>
      <c r="F550" s="2" t="e">
        <f>VLOOKUP(Tabla3[[#This Row],[CONTABLE]],'SAPROV (2)'!L:M,2,FALSE)</f>
        <v>#N/A</v>
      </c>
      <c r="H550" t="s">
        <v>588</v>
      </c>
      <c r="I550" s="2" t="str">
        <f>VLOOKUP(Tabla3[[#This Row],[Deposito]],'SAPROV (2)'!D:E,2,FALSE)</f>
        <v>A01</v>
      </c>
      <c r="K550" s="23" t="s">
        <v>23</v>
      </c>
      <c r="L550" s="2" t="str">
        <f>VLOOKUP(Tabla3[[#This Row],[PROVEEDOR]],'SAPROV (2)'!A:B,2,FALSE)</f>
        <v>04</v>
      </c>
      <c r="M550" t="str">
        <f>VLOOKUP(Tabla3[[#This Row],[SERVICIO]],'SAPROV (2)'!I:J,2,FALSE)</f>
        <v>SERV0060</v>
      </c>
      <c r="N550" t="s">
        <v>611</v>
      </c>
      <c r="P550">
        <f>VLOOKUP(Tabla3[[#This Row],[FECHA]],TASA[],2,FALSE)</f>
        <v>352.71</v>
      </c>
      <c r="Q550" s="4">
        <f t="shared" si="81"/>
        <v>-0.11822743897252702</v>
      </c>
      <c r="R550" t="s">
        <v>1253</v>
      </c>
    </row>
    <row r="551" spans="1:18" x14ac:dyDescent="0.25">
      <c r="A551" s="33">
        <v>46048</v>
      </c>
      <c r="B551" s="1">
        <v>676246084002</v>
      </c>
      <c r="C551" s="2" t="s">
        <v>1251</v>
      </c>
      <c r="D551" s="34">
        <v>-60.79</v>
      </c>
      <c r="E551" t="s">
        <v>20</v>
      </c>
      <c r="F551" s="2" t="e">
        <f>VLOOKUP(Tabla3[[#This Row],[CONTABLE]],'SAPROV (2)'!L:M,2,FALSE)</f>
        <v>#N/A</v>
      </c>
      <c r="H551" t="s">
        <v>588</v>
      </c>
      <c r="I551" s="2" t="str">
        <f>VLOOKUP(Tabla3[[#This Row],[Deposito]],'SAPROV (2)'!D:E,2,FALSE)</f>
        <v>A01</v>
      </c>
      <c r="K551" s="23" t="s">
        <v>23</v>
      </c>
      <c r="L551" s="23" t="str">
        <f>VLOOKUP(Tabla3[[#This Row],[PROVEEDOR]],'SAPROV (2)'!A:B,2,FALSE)</f>
        <v>04</v>
      </c>
      <c r="M551" t="str">
        <f>VLOOKUP(Tabla3[[#This Row],[SERVICIO]],'SAPROV (2)'!I:J,2,FALSE)</f>
        <v>SERV0060</v>
      </c>
      <c r="N551" t="s">
        <v>611</v>
      </c>
      <c r="P551">
        <f>VLOOKUP(Tabla3[[#This Row],[FECHA]],TASA[],2,FALSE)</f>
        <v>355.55</v>
      </c>
      <c r="Q551" s="4">
        <f t="shared" si="81"/>
        <v>-0.17097454647728871</v>
      </c>
      <c r="R551" t="s">
        <v>1253</v>
      </c>
    </row>
    <row r="552" spans="1:18" x14ac:dyDescent="0.25">
      <c r="A552" s="33">
        <v>46048</v>
      </c>
      <c r="B552" s="1">
        <v>676246083001</v>
      </c>
      <c r="C552" s="2" t="s">
        <v>1251</v>
      </c>
      <c r="D552" s="34">
        <v>-39.99</v>
      </c>
      <c r="E552" t="s">
        <v>20</v>
      </c>
      <c r="F552" s="2" t="e">
        <f>VLOOKUP(Tabla3[[#This Row],[CONTABLE]],'SAPROV (2)'!L:M,2,FALSE)</f>
        <v>#N/A</v>
      </c>
      <c r="H552" t="s">
        <v>588</v>
      </c>
      <c r="I552" s="2" t="str">
        <f>VLOOKUP(Tabla3[[#This Row],[Deposito]],'SAPROV (2)'!D:E,2,FALSE)</f>
        <v>A01</v>
      </c>
      <c r="K552" s="23" t="s">
        <v>23</v>
      </c>
      <c r="L552" s="23" t="str">
        <f>VLOOKUP(Tabla3[[#This Row],[PROVEEDOR]],'SAPROV (2)'!A:B,2,FALSE)</f>
        <v>04</v>
      </c>
      <c r="M552" t="str">
        <f>VLOOKUP(Tabla3[[#This Row],[SERVICIO]],'SAPROV (2)'!I:J,2,FALSE)</f>
        <v>SERV0060</v>
      </c>
      <c r="N552" t="s">
        <v>611</v>
      </c>
      <c r="P552">
        <f>VLOOKUP(Tabla3[[#This Row],[FECHA]],TASA[],2,FALSE)</f>
        <v>355.55</v>
      </c>
      <c r="Q552" s="4">
        <f t="shared" si="81"/>
        <v>-0.11247363240050626</v>
      </c>
      <c r="R552" t="s">
        <v>1253</v>
      </c>
    </row>
    <row r="553" spans="1:18" x14ac:dyDescent="0.25">
      <c r="A553" s="33">
        <v>46048</v>
      </c>
      <c r="B553" s="1">
        <v>676246088006</v>
      </c>
      <c r="C553" s="2" t="s">
        <v>1251</v>
      </c>
      <c r="D553" s="34">
        <v>-213.33</v>
      </c>
      <c r="E553" t="s">
        <v>20</v>
      </c>
      <c r="F553" s="2" t="e">
        <f>VLOOKUP(Tabla3[[#This Row],[CONTABLE]],'SAPROV (2)'!L:M,2,FALSE)</f>
        <v>#N/A</v>
      </c>
      <c r="H553" t="s">
        <v>588</v>
      </c>
      <c r="I553" s="2" t="str">
        <f>VLOOKUP(Tabla3[[#This Row],[Deposito]],'SAPROV (2)'!D:E,2,FALSE)</f>
        <v>A01</v>
      </c>
      <c r="K553" s="23" t="s">
        <v>23</v>
      </c>
      <c r="L553" s="2" t="str">
        <f>VLOOKUP(Tabla3[[#This Row],[PROVEEDOR]],'SAPROV (2)'!A:B,2,FALSE)</f>
        <v>04</v>
      </c>
      <c r="M553" t="str">
        <f>VLOOKUP(Tabla3[[#This Row],[SERVICIO]],'SAPROV (2)'!I:J,2,FALSE)</f>
        <v>SERV0060</v>
      </c>
      <c r="N553" t="s">
        <v>611</v>
      </c>
      <c r="P553">
        <f>VLOOKUP(Tabla3[[#This Row],[FECHA]],TASA[],2,FALSE)</f>
        <v>355.55</v>
      </c>
      <c r="Q553" s="4">
        <f t="shared" ref="Q553:Q554" si="82">D553/P553</f>
        <v>-0.6</v>
      </c>
      <c r="R553" t="s">
        <v>1253</v>
      </c>
    </row>
    <row r="554" spans="1:18" x14ac:dyDescent="0.25">
      <c r="A554" s="33">
        <v>46048</v>
      </c>
      <c r="B554" s="1">
        <v>676246087005</v>
      </c>
      <c r="C554" s="2" t="s">
        <v>1251</v>
      </c>
      <c r="D554" s="34">
        <v>-817.85</v>
      </c>
      <c r="E554" t="s">
        <v>20</v>
      </c>
      <c r="F554" s="2" t="e">
        <f>VLOOKUP(Tabla3[[#This Row],[CONTABLE]],'SAPROV (2)'!L:M,2,FALSE)</f>
        <v>#N/A</v>
      </c>
      <c r="H554" t="s">
        <v>588</v>
      </c>
      <c r="I554" s="2" t="str">
        <f>VLOOKUP(Tabla3[[#This Row],[Deposito]],'SAPROV (2)'!D:E,2,FALSE)</f>
        <v>A01</v>
      </c>
      <c r="K554" s="23" t="s">
        <v>23</v>
      </c>
      <c r="L554" s="23" t="str">
        <f>VLOOKUP(Tabla3[[#This Row],[PROVEEDOR]],'SAPROV (2)'!A:B,2,FALSE)</f>
        <v>04</v>
      </c>
      <c r="M554" t="str">
        <f>VLOOKUP(Tabla3[[#This Row],[SERVICIO]],'SAPROV (2)'!I:J,2,FALSE)</f>
        <v>SERV0060</v>
      </c>
      <c r="N554" t="s">
        <v>611</v>
      </c>
      <c r="P554">
        <f>VLOOKUP(Tabla3[[#This Row],[FECHA]],TASA[],2,FALSE)</f>
        <v>355.55</v>
      </c>
      <c r="Q554" s="4">
        <f t="shared" si="82"/>
        <v>-2.30023906623541</v>
      </c>
      <c r="R554" t="s">
        <v>1253</v>
      </c>
    </row>
    <row r="555" spans="1:18" x14ac:dyDescent="0.25">
      <c r="A555" s="33">
        <v>46048</v>
      </c>
      <c r="B555" s="1">
        <v>676246089007</v>
      </c>
      <c r="C555" s="2" t="s">
        <v>1251</v>
      </c>
      <c r="D555" s="34">
        <v>-132.24</v>
      </c>
      <c r="E555" t="s">
        <v>20</v>
      </c>
      <c r="F555" s="2" t="e">
        <f>VLOOKUP(Tabla3[[#This Row],[CONTABLE]],'SAPROV (2)'!L:M,2,FALSE)</f>
        <v>#N/A</v>
      </c>
      <c r="H555" t="s">
        <v>588</v>
      </c>
      <c r="I555" s="2" t="str">
        <f>VLOOKUP(Tabla3[[#This Row],[Deposito]],'SAPROV (2)'!D:E,2,FALSE)</f>
        <v>A01</v>
      </c>
      <c r="K555" s="23" t="s">
        <v>23</v>
      </c>
      <c r="L555" s="23" t="str">
        <f>VLOOKUP(Tabla3[[#This Row],[PROVEEDOR]],'SAPROV (2)'!A:B,2,FALSE)</f>
        <v>04</v>
      </c>
      <c r="M555" t="str">
        <f>VLOOKUP(Tabla3[[#This Row],[SERVICIO]],'SAPROV (2)'!I:J,2,FALSE)</f>
        <v>SERV0060</v>
      </c>
      <c r="N555" t="s">
        <v>611</v>
      </c>
      <c r="P555">
        <f>VLOOKUP(Tabla3[[#This Row],[FECHA]],TASA[],2,FALSE)</f>
        <v>355.55</v>
      </c>
      <c r="Q555" s="4">
        <f t="shared" ref="Q555:Q562" si="83">D555/P555</f>
        <v>-0.37193081141892842</v>
      </c>
      <c r="R555" t="s">
        <v>1253</v>
      </c>
    </row>
    <row r="556" spans="1:18" x14ac:dyDescent="0.25">
      <c r="A556" s="33">
        <v>46048</v>
      </c>
      <c r="B556" s="1">
        <v>676246085003</v>
      </c>
      <c r="C556" s="2" t="s">
        <v>1251</v>
      </c>
      <c r="D556" s="34">
        <v>-347.63</v>
      </c>
      <c r="E556" t="s">
        <v>20</v>
      </c>
      <c r="F556" s="2" t="e">
        <f>VLOOKUP(Tabla3[[#This Row],[CONTABLE]],'SAPROV (2)'!L:M,2,FALSE)</f>
        <v>#N/A</v>
      </c>
      <c r="H556" t="s">
        <v>588</v>
      </c>
      <c r="I556" s="2" t="str">
        <f>VLOOKUP(Tabla3[[#This Row],[Deposito]],'SAPROV (2)'!D:E,2,FALSE)</f>
        <v>A01</v>
      </c>
      <c r="K556" s="23" t="s">
        <v>23</v>
      </c>
      <c r="L556" s="2" t="str">
        <f>VLOOKUP(Tabla3[[#This Row],[PROVEEDOR]],'SAPROV (2)'!A:B,2,FALSE)</f>
        <v>04</v>
      </c>
      <c r="M556" t="str">
        <f>VLOOKUP(Tabla3[[#This Row],[SERVICIO]],'SAPROV (2)'!I:J,2,FALSE)</f>
        <v>SERV0060</v>
      </c>
      <c r="N556" t="s">
        <v>611</v>
      </c>
      <c r="P556">
        <f>VLOOKUP(Tabla3[[#This Row],[FECHA]],TASA[],2,FALSE)</f>
        <v>355.55</v>
      </c>
      <c r="Q556" s="4">
        <f t="shared" si="83"/>
        <v>-0.97772465194768665</v>
      </c>
      <c r="R556" t="s">
        <v>1253</v>
      </c>
    </row>
    <row r="557" spans="1:18" x14ac:dyDescent="0.25">
      <c r="A557" s="33">
        <v>46048</v>
      </c>
      <c r="B557" s="1">
        <v>676246086004</v>
      </c>
      <c r="C557" s="2" t="s">
        <v>1251</v>
      </c>
      <c r="D557" s="34">
        <v>-61.86</v>
      </c>
      <c r="E557" t="s">
        <v>20</v>
      </c>
      <c r="F557" s="2" t="e">
        <f>VLOOKUP(Tabla3[[#This Row],[CONTABLE]],'SAPROV (2)'!L:M,2,FALSE)</f>
        <v>#N/A</v>
      </c>
      <c r="H557" t="s">
        <v>588</v>
      </c>
      <c r="I557" s="2" t="str">
        <f>VLOOKUP(Tabla3[[#This Row],[Deposito]],'SAPROV (2)'!D:E,2,FALSE)</f>
        <v>A01</v>
      </c>
      <c r="K557" s="23" t="s">
        <v>23</v>
      </c>
      <c r="L557" s="23" t="str">
        <f>VLOOKUP(Tabla3[[#This Row],[PROVEEDOR]],'SAPROV (2)'!A:B,2,FALSE)</f>
        <v>04</v>
      </c>
      <c r="M557" t="str">
        <f>VLOOKUP(Tabla3[[#This Row],[SERVICIO]],'SAPROV (2)'!I:J,2,FALSE)</f>
        <v>SERV0060</v>
      </c>
      <c r="N557" t="s">
        <v>611</v>
      </c>
      <c r="P557">
        <f>VLOOKUP(Tabla3[[#This Row],[FECHA]],TASA[],2,FALSE)</f>
        <v>355.55</v>
      </c>
      <c r="Q557" s="4">
        <f t="shared" si="83"/>
        <v>-0.17398396849950779</v>
      </c>
      <c r="R557" t="s">
        <v>1253</v>
      </c>
    </row>
    <row r="558" spans="1:18" x14ac:dyDescent="0.25">
      <c r="A558" s="33">
        <v>46049</v>
      </c>
      <c r="B558" s="1">
        <v>676238512975</v>
      </c>
      <c r="C558" s="2" t="s">
        <v>1251</v>
      </c>
      <c r="D558" s="34">
        <v>-17500</v>
      </c>
      <c r="E558" t="s">
        <v>20</v>
      </c>
      <c r="F558" s="2" t="e">
        <f>VLOOKUP(Tabla3[[#This Row],[CONTABLE]],'SAPROV (2)'!L:M,2,FALSE)</f>
        <v>#N/A</v>
      </c>
      <c r="H558" t="s">
        <v>588</v>
      </c>
      <c r="I558" s="2" t="str">
        <f>VLOOKUP(Tabla3[[#This Row],[Deposito]],'SAPROV (2)'!D:E,2,FALSE)</f>
        <v>A01</v>
      </c>
      <c r="K558" s="23" t="s">
        <v>23</v>
      </c>
      <c r="L558" s="23" t="str">
        <f>VLOOKUP(Tabla3[[#This Row],[PROVEEDOR]],'SAPROV (2)'!A:B,2,FALSE)</f>
        <v>04</v>
      </c>
      <c r="M558" t="str">
        <f>VLOOKUP(Tabla3[[#This Row],[SERVICIO]],'SAPROV (2)'!I:J,2,FALSE)</f>
        <v>SERV0060</v>
      </c>
      <c r="N558" t="s">
        <v>611</v>
      </c>
      <c r="P558">
        <f>VLOOKUP(Tabla3[[#This Row],[FECHA]],TASA[],2,FALSE)</f>
        <v>358.92</v>
      </c>
      <c r="Q558" s="4">
        <f t="shared" si="83"/>
        <v>-48.757383260893789</v>
      </c>
      <c r="R558" t="s">
        <v>1253</v>
      </c>
    </row>
    <row r="559" spans="1:18" x14ac:dyDescent="0.25">
      <c r="A559" s="33">
        <v>46050</v>
      </c>
      <c r="B559" s="1">
        <v>676230177005</v>
      </c>
      <c r="C559" s="2" t="s">
        <v>1251</v>
      </c>
      <c r="D559" s="34">
        <v>-5.59</v>
      </c>
      <c r="E559" t="s">
        <v>20</v>
      </c>
      <c r="F559" s="2" t="e">
        <f>VLOOKUP(Tabla3[[#This Row],[CONTABLE]],'SAPROV (2)'!L:M,2,FALSE)</f>
        <v>#N/A</v>
      </c>
      <c r="H559" t="s">
        <v>588</v>
      </c>
      <c r="I559" s="2" t="str">
        <f>VLOOKUP(Tabla3[[#This Row],[Deposito]],'SAPROV (2)'!D:E,2,FALSE)</f>
        <v>A01</v>
      </c>
      <c r="K559" s="23" t="s">
        <v>23</v>
      </c>
      <c r="L559" s="2" t="str">
        <f>VLOOKUP(Tabla3[[#This Row],[PROVEEDOR]],'SAPROV (2)'!A:B,2,FALSE)</f>
        <v>04</v>
      </c>
      <c r="M559" t="str">
        <f>VLOOKUP(Tabla3[[#This Row],[SERVICIO]],'SAPROV (2)'!I:J,2,FALSE)</f>
        <v>SERV0060</v>
      </c>
      <c r="N559" t="s">
        <v>611</v>
      </c>
      <c r="P559">
        <f>VLOOKUP(Tabla3[[#This Row],[FECHA]],TASA[],2,FALSE)</f>
        <v>361.49</v>
      </c>
      <c r="Q559" s="4">
        <f t="shared" si="83"/>
        <v>-1.5463774931533374E-2</v>
      </c>
      <c r="R559" t="s">
        <v>1253</v>
      </c>
    </row>
    <row r="560" spans="1:18" x14ac:dyDescent="0.25">
      <c r="A560" s="33">
        <v>46050</v>
      </c>
      <c r="B560" s="1">
        <v>676230175003</v>
      </c>
      <c r="C560" s="2" t="s">
        <v>1251</v>
      </c>
      <c r="D560" s="34">
        <v>-1527.51</v>
      </c>
      <c r="E560" t="s">
        <v>20</v>
      </c>
      <c r="F560" s="2" t="e">
        <f>VLOOKUP(Tabla3[[#This Row],[CONTABLE]],'SAPROV (2)'!L:M,2,FALSE)</f>
        <v>#N/A</v>
      </c>
      <c r="H560" t="s">
        <v>588</v>
      </c>
      <c r="I560" s="2" t="str">
        <f>VLOOKUP(Tabla3[[#This Row],[Deposito]],'SAPROV (2)'!D:E,2,FALSE)</f>
        <v>A01</v>
      </c>
      <c r="K560" s="23" t="s">
        <v>23</v>
      </c>
      <c r="L560" s="23" t="str">
        <f>VLOOKUP(Tabla3[[#This Row],[PROVEEDOR]],'SAPROV (2)'!A:B,2,FALSE)</f>
        <v>04</v>
      </c>
      <c r="M560" t="str">
        <f>VLOOKUP(Tabla3[[#This Row],[SERVICIO]],'SAPROV (2)'!I:J,2,FALSE)</f>
        <v>SERV0060</v>
      </c>
      <c r="N560" t="s">
        <v>611</v>
      </c>
      <c r="P560">
        <f>VLOOKUP(Tabla3[[#This Row],[FECHA]],TASA[],2,FALSE)</f>
        <v>361.49</v>
      </c>
      <c r="Q560" s="4">
        <f t="shared" si="83"/>
        <v>-4.2255940689922262</v>
      </c>
      <c r="R560" t="s">
        <v>1253</v>
      </c>
    </row>
    <row r="561" spans="1:18" x14ac:dyDescent="0.25">
      <c r="A561" s="33">
        <v>46050</v>
      </c>
      <c r="B561" s="1">
        <v>676230176004</v>
      </c>
      <c r="C561" s="2" t="s">
        <v>1251</v>
      </c>
      <c r="D561" s="34">
        <v>-2649.36</v>
      </c>
      <c r="E561" t="s">
        <v>20</v>
      </c>
      <c r="F561" s="2" t="e">
        <f>VLOOKUP(Tabla3[[#This Row],[CONTABLE]],'SAPROV (2)'!L:M,2,FALSE)</f>
        <v>#N/A</v>
      </c>
      <c r="H561" t="s">
        <v>588</v>
      </c>
      <c r="I561" s="2" t="str">
        <f>VLOOKUP(Tabla3[[#This Row],[Deposito]],'SAPROV (2)'!D:E,2,FALSE)</f>
        <v>A01</v>
      </c>
      <c r="K561" s="23" t="s">
        <v>23</v>
      </c>
      <c r="L561" s="23" t="str">
        <f>VLOOKUP(Tabla3[[#This Row],[PROVEEDOR]],'SAPROV (2)'!A:B,2,FALSE)</f>
        <v>04</v>
      </c>
      <c r="M561" t="str">
        <f>VLOOKUP(Tabla3[[#This Row],[SERVICIO]],'SAPROV (2)'!I:J,2,FALSE)</f>
        <v>SERV0060</v>
      </c>
      <c r="N561" t="s">
        <v>611</v>
      </c>
      <c r="P561">
        <f>VLOOKUP(Tabla3[[#This Row],[FECHA]],TASA[],2,FALSE)</f>
        <v>361.49</v>
      </c>
      <c r="Q561" s="4">
        <f t="shared" si="83"/>
        <v>-7.3289994190710672</v>
      </c>
      <c r="R561" t="s">
        <v>1253</v>
      </c>
    </row>
    <row r="562" spans="1:18" x14ac:dyDescent="0.25">
      <c r="A562" s="33">
        <v>46050</v>
      </c>
      <c r="B562" s="1">
        <v>676230178006</v>
      </c>
      <c r="C562" s="2" t="s">
        <v>1251</v>
      </c>
      <c r="D562" s="34">
        <v>-11.19</v>
      </c>
      <c r="E562" t="s">
        <v>20</v>
      </c>
      <c r="F562" s="2" t="e">
        <f>VLOOKUP(Tabla3[[#This Row],[CONTABLE]],'SAPROV (2)'!L:M,2,FALSE)</f>
        <v>#N/A</v>
      </c>
      <c r="H562" t="s">
        <v>588</v>
      </c>
      <c r="I562" s="2" t="str">
        <f>VLOOKUP(Tabla3[[#This Row],[Deposito]],'SAPROV (2)'!D:E,2,FALSE)</f>
        <v>A01</v>
      </c>
      <c r="K562" s="23" t="s">
        <v>23</v>
      </c>
      <c r="L562" s="2" t="str">
        <f>VLOOKUP(Tabla3[[#This Row],[PROVEEDOR]],'SAPROV (2)'!A:B,2,FALSE)</f>
        <v>04</v>
      </c>
      <c r="M562" t="str">
        <f>VLOOKUP(Tabla3[[#This Row],[SERVICIO]],'SAPROV (2)'!I:J,2,FALSE)</f>
        <v>SERV0060</v>
      </c>
      <c r="N562" t="s">
        <v>611</v>
      </c>
      <c r="P562">
        <f>VLOOKUP(Tabla3[[#This Row],[FECHA]],TASA[],2,FALSE)</f>
        <v>361.49</v>
      </c>
      <c r="Q562" s="4">
        <f t="shared" si="83"/>
        <v>-3.0955213145591853E-2</v>
      </c>
      <c r="R562" t="s">
        <v>1253</v>
      </c>
    </row>
    <row r="563" spans="1:18" x14ac:dyDescent="0.25">
      <c r="A563" s="33">
        <v>46050</v>
      </c>
      <c r="B563" s="1">
        <v>676230181009</v>
      </c>
      <c r="C563" s="2" t="s">
        <v>1251</v>
      </c>
      <c r="D563" s="34">
        <v>-164.58</v>
      </c>
      <c r="E563" t="s">
        <v>20</v>
      </c>
      <c r="F563" s="2" t="e">
        <f>VLOOKUP(Tabla3[[#This Row],[CONTABLE]],'SAPROV (2)'!L:M,2,FALSE)</f>
        <v>#N/A</v>
      </c>
      <c r="H563" t="s">
        <v>588</v>
      </c>
      <c r="I563" s="2" t="str">
        <f>VLOOKUP(Tabla3[[#This Row],[Deposito]],'SAPROV (2)'!D:E,2,FALSE)</f>
        <v>A01</v>
      </c>
      <c r="K563" s="23" t="s">
        <v>23</v>
      </c>
      <c r="L563" s="23" t="str">
        <f>VLOOKUP(Tabla3[[#This Row],[PROVEEDOR]],'SAPROV (2)'!A:B,2,FALSE)</f>
        <v>04</v>
      </c>
      <c r="M563" t="str">
        <f>VLOOKUP(Tabla3[[#This Row],[SERVICIO]],'SAPROV (2)'!I:J,2,FALSE)</f>
        <v>SERV0060</v>
      </c>
      <c r="N563" t="s">
        <v>611</v>
      </c>
      <c r="P563">
        <f>VLOOKUP(Tabla3[[#This Row],[FECHA]],TASA[],2,FALSE)</f>
        <v>361.49</v>
      </c>
      <c r="Q563" s="4">
        <f t="shared" ref="Q563:Q564" si="84">D563/P563</f>
        <v>-0.4552823037981687</v>
      </c>
      <c r="R563" t="s">
        <v>1253</v>
      </c>
    </row>
    <row r="564" spans="1:18" x14ac:dyDescent="0.25">
      <c r="A564" s="33">
        <v>46050</v>
      </c>
      <c r="B564" s="1">
        <v>676230179007</v>
      </c>
      <c r="C564" s="2" t="s">
        <v>1251</v>
      </c>
      <c r="D564" s="34">
        <v>-248.52</v>
      </c>
      <c r="E564" t="s">
        <v>20</v>
      </c>
      <c r="F564" s="2" t="e">
        <f>VLOOKUP(Tabla3[[#This Row],[CONTABLE]],'SAPROV (2)'!L:M,2,FALSE)</f>
        <v>#N/A</v>
      </c>
      <c r="H564" t="s">
        <v>588</v>
      </c>
      <c r="I564" s="2" t="str">
        <f>VLOOKUP(Tabla3[[#This Row],[Deposito]],'SAPROV (2)'!D:E,2,FALSE)</f>
        <v>A01</v>
      </c>
      <c r="K564" s="23" t="s">
        <v>23</v>
      </c>
      <c r="L564" s="23" t="str">
        <f>VLOOKUP(Tabla3[[#This Row],[PROVEEDOR]],'SAPROV (2)'!A:B,2,FALSE)</f>
        <v>04</v>
      </c>
      <c r="M564" t="str">
        <f>VLOOKUP(Tabla3[[#This Row],[SERVICIO]],'SAPROV (2)'!I:J,2,FALSE)</f>
        <v>SERV0060</v>
      </c>
      <c r="N564" t="s">
        <v>611</v>
      </c>
      <c r="P564">
        <f>VLOOKUP(Tabla3[[#This Row],[FECHA]],TASA[],2,FALSE)</f>
        <v>361.49</v>
      </c>
      <c r="Q564" s="4">
        <f t="shared" si="84"/>
        <v>-0.68748789731389526</v>
      </c>
      <c r="R564" t="s">
        <v>1253</v>
      </c>
    </row>
    <row r="565" spans="1:18" x14ac:dyDescent="0.25">
      <c r="A565" s="33">
        <v>46050</v>
      </c>
      <c r="B565" s="1">
        <v>676230173001</v>
      </c>
      <c r="C565" s="2" t="s">
        <v>1251</v>
      </c>
      <c r="D565" s="34">
        <v>-552.38</v>
      </c>
      <c r="E565" t="s">
        <v>20</v>
      </c>
      <c r="F565" s="2" t="e">
        <f>VLOOKUP(Tabla3[[#This Row],[CONTABLE]],'SAPROV (2)'!L:M,2,FALSE)</f>
        <v>#N/A</v>
      </c>
      <c r="H565" t="s">
        <v>588</v>
      </c>
      <c r="I565" s="2" t="str">
        <f>VLOOKUP(Tabla3[[#This Row],[Deposito]],'SAPROV (2)'!D:E,2,FALSE)</f>
        <v>A01</v>
      </c>
      <c r="K565" s="23" t="s">
        <v>23</v>
      </c>
      <c r="L565" s="2" t="str">
        <f>VLOOKUP(Tabla3[[#This Row],[PROVEEDOR]],'SAPROV (2)'!A:B,2,FALSE)</f>
        <v>04</v>
      </c>
      <c r="M565" t="str">
        <f>VLOOKUP(Tabla3[[#This Row],[SERVICIO]],'SAPROV (2)'!I:J,2,FALSE)</f>
        <v>SERV0060</v>
      </c>
      <c r="N565" t="s">
        <v>611</v>
      </c>
      <c r="P565">
        <f>VLOOKUP(Tabla3[[#This Row],[FECHA]],TASA[],2,FALSE)</f>
        <v>361.49</v>
      </c>
      <c r="Q565" s="4">
        <f t="shared" ref="Q565:Q573" si="85">D565/P565</f>
        <v>-1.5280644001217183</v>
      </c>
      <c r="R565" t="s">
        <v>1253</v>
      </c>
    </row>
    <row r="566" spans="1:18" x14ac:dyDescent="0.25">
      <c r="A566" s="33">
        <v>46050</v>
      </c>
      <c r="B566" s="1">
        <v>676230174002</v>
      </c>
      <c r="C566" s="2" t="s">
        <v>1251</v>
      </c>
      <c r="D566" s="34">
        <v>-552.38</v>
      </c>
      <c r="E566" t="s">
        <v>20</v>
      </c>
      <c r="F566" s="2" t="e">
        <f>VLOOKUP(Tabla3[[#This Row],[CONTABLE]],'SAPROV (2)'!L:M,2,FALSE)</f>
        <v>#N/A</v>
      </c>
      <c r="H566" t="s">
        <v>588</v>
      </c>
      <c r="I566" s="2" t="str">
        <f>VLOOKUP(Tabla3[[#This Row],[Deposito]],'SAPROV (2)'!D:E,2,FALSE)</f>
        <v>A01</v>
      </c>
      <c r="K566" s="23" t="s">
        <v>23</v>
      </c>
      <c r="L566" s="23" t="str">
        <f>VLOOKUP(Tabla3[[#This Row],[PROVEEDOR]],'SAPROV (2)'!A:B,2,FALSE)</f>
        <v>04</v>
      </c>
      <c r="M566" t="str">
        <f>VLOOKUP(Tabla3[[#This Row],[SERVICIO]],'SAPROV (2)'!I:J,2,FALSE)</f>
        <v>SERV0060</v>
      </c>
      <c r="N566" t="s">
        <v>611</v>
      </c>
      <c r="P566">
        <f>VLOOKUP(Tabla3[[#This Row],[FECHA]],TASA[],2,FALSE)</f>
        <v>361.49</v>
      </c>
      <c r="Q566" s="4">
        <f t="shared" si="85"/>
        <v>-1.5280644001217183</v>
      </c>
      <c r="R566" t="s">
        <v>1253</v>
      </c>
    </row>
    <row r="567" spans="1:18" x14ac:dyDescent="0.25">
      <c r="A567" s="33">
        <v>46050</v>
      </c>
      <c r="B567" s="1">
        <v>676230180008</v>
      </c>
      <c r="C567" s="2" t="s">
        <v>1251</v>
      </c>
      <c r="D567" s="34">
        <v>-227.35</v>
      </c>
      <c r="E567" t="s">
        <v>20</v>
      </c>
      <c r="F567" s="2" t="e">
        <f>VLOOKUP(Tabla3[[#This Row],[CONTABLE]],'SAPROV (2)'!L:M,2,FALSE)</f>
        <v>#N/A</v>
      </c>
      <c r="H567" t="s">
        <v>588</v>
      </c>
      <c r="I567" s="2" t="str">
        <f>VLOOKUP(Tabla3[[#This Row],[Deposito]],'SAPROV (2)'!D:E,2,FALSE)</f>
        <v>A01</v>
      </c>
      <c r="K567" s="23" t="s">
        <v>23</v>
      </c>
      <c r="L567" s="23" t="str">
        <f>VLOOKUP(Tabla3[[#This Row],[PROVEEDOR]],'SAPROV (2)'!A:B,2,FALSE)</f>
        <v>04</v>
      </c>
      <c r="M567" t="str">
        <f>VLOOKUP(Tabla3[[#This Row],[SERVICIO]],'SAPROV (2)'!I:J,2,FALSE)</f>
        <v>SERV0060</v>
      </c>
      <c r="N567" t="s">
        <v>611</v>
      </c>
      <c r="P567">
        <f>VLOOKUP(Tabla3[[#This Row],[FECHA]],TASA[],2,FALSE)</f>
        <v>361.49</v>
      </c>
      <c r="Q567" s="4">
        <f t="shared" si="85"/>
        <v>-0.62892472820824918</v>
      </c>
      <c r="R567" t="s">
        <v>1253</v>
      </c>
    </row>
    <row r="568" spans="1:18" x14ac:dyDescent="0.25">
      <c r="A568" s="33">
        <v>46050</v>
      </c>
      <c r="B568" s="1">
        <v>676239383001</v>
      </c>
      <c r="C568" s="2" t="s">
        <v>1251</v>
      </c>
      <c r="D568" s="34">
        <v>-17170.77</v>
      </c>
      <c r="E568" t="s">
        <v>20</v>
      </c>
      <c r="F568" s="2" t="e">
        <f>VLOOKUP(Tabla3[[#This Row],[CONTABLE]],'SAPROV (2)'!L:M,2,FALSE)</f>
        <v>#N/A</v>
      </c>
      <c r="H568" t="s">
        <v>588</v>
      </c>
      <c r="I568" s="2" t="str">
        <f>VLOOKUP(Tabla3[[#This Row],[Deposito]],'SAPROV (2)'!D:E,2,FALSE)</f>
        <v>A01</v>
      </c>
      <c r="K568" s="23" t="s">
        <v>23</v>
      </c>
      <c r="L568" s="2" t="str">
        <f>VLOOKUP(Tabla3[[#This Row],[PROVEEDOR]],'SAPROV (2)'!A:B,2,FALSE)</f>
        <v>04</v>
      </c>
      <c r="M568" t="str">
        <f>VLOOKUP(Tabla3[[#This Row],[SERVICIO]],'SAPROV (2)'!I:J,2,FALSE)</f>
        <v>SERV0060</v>
      </c>
      <c r="N568" t="s">
        <v>611</v>
      </c>
      <c r="P568">
        <f>VLOOKUP(Tabla3[[#This Row],[FECHA]],TASA[],2,FALSE)</f>
        <v>361.49</v>
      </c>
      <c r="Q568" s="4">
        <f t="shared" si="85"/>
        <v>-47.499986168358738</v>
      </c>
      <c r="R568" t="s">
        <v>1253</v>
      </c>
    </row>
    <row r="569" spans="1:18" x14ac:dyDescent="0.25">
      <c r="A569" s="33">
        <v>46050</v>
      </c>
      <c r="B569" s="1">
        <v>676239384002</v>
      </c>
      <c r="C569" s="2" t="s">
        <v>1251</v>
      </c>
      <c r="D569" s="34">
        <v>-1066.75</v>
      </c>
      <c r="E569" t="s">
        <v>20</v>
      </c>
      <c r="F569" s="2" t="e">
        <f>VLOOKUP(Tabla3[[#This Row],[CONTABLE]],'SAPROV (2)'!L:M,2,FALSE)</f>
        <v>#N/A</v>
      </c>
      <c r="H569" t="s">
        <v>588</v>
      </c>
      <c r="I569" s="2" t="str">
        <f>VLOOKUP(Tabla3[[#This Row],[Deposito]],'SAPROV (2)'!D:E,2,FALSE)</f>
        <v>A01</v>
      </c>
      <c r="K569" s="23" t="s">
        <v>23</v>
      </c>
      <c r="L569" s="23" t="str">
        <f>VLOOKUP(Tabla3[[#This Row],[PROVEEDOR]],'SAPROV (2)'!A:B,2,FALSE)</f>
        <v>04</v>
      </c>
      <c r="M569" t="str">
        <f>VLOOKUP(Tabla3[[#This Row],[SERVICIO]],'SAPROV (2)'!I:J,2,FALSE)</f>
        <v>SERV0060</v>
      </c>
      <c r="N569" t="s">
        <v>611</v>
      </c>
      <c r="P569">
        <f>VLOOKUP(Tabla3[[#This Row],[FECHA]],TASA[],2,FALSE)</f>
        <v>361.49</v>
      </c>
      <c r="Q569" s="4">
        <f t="shared" si="85"/>
        <v>-2.9509806633655149</v>
      </c>
      <c r="R569" t="s">
        <v>1253</v>
      </c>
    </row>
    <row r="570" spans="1:18" x14ac:dyDescent="0.25">
      <c r="A570" s="33">
        <v>46050</v>
      </c>
      <c r="B570" s="1">
        <v>676238784079</v>
      </c>
      <c r="C570" s="2" t="s">
        <v>1251</v>
      </c>
      <c r="D570" s="34">
        <v>-25000</v>
      </c>
      <c r="E570" t="s">
        <v>20</v>
      </c>
      <c r="F570" s="2" t="e">
        <f>VLOOKUP(Tabla3[[#This Row],[CONTABLE]],'SAPROV (2)'!L:M,2,FALSE)</f>
        <v>#N/A</v>
      </c>
      <c r="H570" t="s">
        <v>588</v>
      </c>
      <c r="I570" s="2" t="str">
        <f>VLOOKUP(Tabla3[[#This Row],[Deposito]],'SAPROV (2)'!D:E,2,FALSE)</f>
        <v>A01</v>
      </c>
      <c r="K570" s="23" t="s">
        <v>23</v>
      </c>
      <c r="L570" s="23" t="str">
        <f>VLOOKUP(Tabla3[[#This Row],[PROVEEDOR]],'SAPROV (2)'!A:B,2,FALSE)</f>
        <v>04</v>
      </c>
      <c r="M570" t="str">
        <f>VLOOKUP(Tabla3[[#This Row],[SERVICIO]],'SAPROV (2)'!I:J,2,FALSE)</f>
        <v>SERV0060</v>
      </c>
      <c r="N570" t="s">
        <v>611</v>
      </c>
      <c r="P570">
        <f>VLOOKUP(Tabla3[[#This Row],[FECHA]],TASA[],2,FALSE)</f>
        <v>361.49</v>
      </c>
      <c r="Q570" s="4">
        <f t="shared" si="85"/>
        <v>-69.158206312761067</v>
      </c>
      <c r="R570" t="s">
        <v>1253</v>
      </c>
    </row>
    <row r="571" spans="1:18" x14ac:dyDescent="0.25">
      <c r="A571" s="33">
        <v>46051</v>
      </c>
      <c r="B571" s="1">
        <v>676206115006</v>
      </c>
      <c r="C571" s="2" t="s">
        <v>1251</v>
      </c>
      <c r="D571" s="34">
        <v>-619.13</v>
      </c>
      <c r="E571" t="s">
        <v>20</v>
      </c>
      <c r="F571" s="2" t="e">
        <f>VLOOKUP(Tabla3[[#This Row],[CONTABLE]],'SAPROV (2)'!L:M,2,FALSE)</f>
        <v>#N/A</v>
      </c>
      <c r="H571" t="s">
        <v>588</v>
      </c>
      <c r="I571" s="2" t="str">
        <f>VLOOKUP(Tabla3[[#This Row],[Deposito]],'SAPROV (2)'!D:E,2,FALSE)</f>
        <v>A01</v>
      </c>
      <c r="K571" s="23" t="s">
        <v>23</v>
      </c>
      <c r="L571" s="2" t="str">
        <f>VLOOKUP(Tabla3[[#This Row],[PROVEEDOR]],'SAPROV (2)'!A:B,2,FALSE)</f>
        <v>04</v>
      </c>
      <c r="M571" t="str">
        <f>VLOOKUP(Tabla3[[#This Row],[SERVICIO]],'SAPROV (2)'!I:J,2,FALSE)</f>
        <v>SERV0060</v>
      </c>
      <c r="N571" t="s">
        <v>611</v>
      </c>
      <c r="P571">
        <f>VLOOKUP(Tabla3[[#This Row],[FECHA]],TASA[],2,FALSE)</f>
        <v>363.66</v>
      </c>
      <c r="Q571" s="4">
        <f t="shared" si="85"/>
        <v>-1.7024968377055489</v>
      </c>
      <c r="R571" t="s">
        <v>1253</v>
      </c>
    </row>
    <row r="572" spans="1:18" x14ac:dyDescent="0.25">
      <c r="A572" s="33">
        <v>46051</v>
      </c>
      <c r="B572" s="1">
        <v>676206112003</v>
      </c>
      <c r="C572" s="2" t="s">
        <v>1251</v>
      </c>
      <c r="D572" s="34">
        <v>-51.51</v>
      </c>
      <c r="E572" t="s">
        <v>20</v>
      </c>
      <c r="F572" s="2" t="e">
        <f>VLOOKUP(Tabla3[[#This Row],[CONTABLE]],'SAPROV (2)'!L:M,2,FALSE)</f>
        <v>#N/A</v>
      </c>
      <c r="H572" t="s">
        <v>588</v>
      </c>
      <c r="I572" s="2" t="str">
        <f>VLOOKUP(Tabla3[[#This Row],[Deposito]],'SAPROV (2)'!D:E,2,FALSE)</f>
        <v>A01</v>
      </c>
      <c r="K572" s="23" t="s">
        <v>23</v>
      </c>
      <c r="L572" s="23" t="str">
        <f>VLOOKUP(Tabla3[[#This Row],[PROVEEDOR]],'SAPROV (2)'!A:B,2,FALSE)</f>
        <v>04</v>
      </c>
      <c r="M572" t="str">
        <f>VLOOKUP(Tabla3[[#This Row],[SERVICIO]],'SAPROV (2)'!I:J,2,FALSE)</f>
        <v>SERV0060</v>
      </c>
      <c r="N572" t="s">
        <v>611</v>
      </c>
      <c r="P572">
        <f>VLOOKUP(Tabla3[[#This Row],[FECHA]],TASA[],2,FALSE)</f>
        <v>363.66</v>
      </c>
      <c r="Q572" s="4">
        <f t="shared" si="85"/>
        <v>-0.1416432931859429</v>
      </c>
      <c r="R572" t="s">
        <v>1253</v>
      </c>
    </row>
    <row r="573" spans="1:18" x14ac:dyDescent="0.25">
      <c r="A573" s="33">
        <v>46051</v>
      </c>
      <c r="B573" s="1">
        <v>676206113004</v>
      </c>
      <c r="C573" s="2" t="s">
        <v>1251</v>
      </c>
      <c r="D573" s="34">
        <v>-10.65</v>
      </c>
      <c r="E573" t="s">
        <v>20</v>
      </c>
      <c r="F573" s="2" t="e">
        <f>VLOOKUP(Tabla3[[#This Row],[CONTABLE]],'SAPROV (2)'!L:M,2,FALSE)</f>
        <v>#N/A</v>
      </c>
      <c r="H573" t="s">
        <v>588</v>
      </c>
      <c r="I573" s="2" t="str">
        <f>VLOOKUP(Tabla3[[#This Row],[Deposito]],'SAPROV (2)'!D:E,2,FALSE)</f>
        <v>A01</v>
      </c>
      <c r="K573" s="23" t="s">
        <v>23</v>
      </c>
      <c r="L573" s="23" t="str">
        <f>VLOOKUP(Tabla3[[#This Row],[PROVEEDOR]],'SAPROV (2)'!A:B,2,FALSE)</f>
        <v>04</v>
      </c>
      <c r="M573" t="str">
        <f>VLOOKUP(Tabla3[[#This Row],[SERVICIO]],'SAPROV (2)'!I:J,2,FALSE)</f>
        <v>SERV0060</v>
      </c>
      <c r="N573" t="s">
        <v>611</v>
      </c>
      <c r="P573">
        <f>VLOOKUP(Tabla3[[#This Row],[FECHA]],TASA[],2,FALSE)</f>
        <v>363.66</v>
      </c>
      <c r="Q573" s="4">
        <f t="shared" si="85"/>
        <v>-2.9285596436231645E-2</v>
      </c>
      <c r="R573" t="s">
        <v>1253</v>
      </c>
    </row>
    <row r="574" spans="1:18" x14ac:dyDescent="0.25">
      <c r="A574" s="33">
        <v>46051</v>
      </c>
      <c r="B574" s="1">
        <v>676206114005</v>
      </c>
      <c r="C574" s="2" t="s">
        <v>1251</v>
      </c>
      <c r="D574" s="34">
        <v>-56.21</v>
      </c>
      <c r="E574" t="s">
        <v>20</v>
      </c>
      <c r="F574" s="2" t="e">
        <f>VLOOKUP(Tabla3[[#This Row],[CONTABLE]],'SAPROV (2)'!L:M,2,FALSE)</f>
        <v>#N/A</v>
      </c>
      <c r="H574" t="s">
        <v>588</v>
      </c>
      <c r="I574" s="2" t="str">
        <f>VLOOKUP(Tabla3[[#This Row],[Deposito]],'SAPROV (2)'!D:E,2,FALSE)</f>
        <v>A01</v>
      </c>
      <c r="K574" s="23" t="s">
        <v>23</v>
      </c>
      <c r="L574" s="2" t="str">
        <f>VLOOKUP(Tabla3[[#This Row],[PROVEEDOR]],'SAPROV (2)'!A:B,2,FALSE)</f>
        <v>04</v>
      </c>
      <c r="M574" t="str">
        <f>VLOOKUP(Tabla3[[#This Row],[SERVICIO]],'SAPROV (2)'!I:J,2,FALSE)</f>
        <v>SERV0060</v>
      </c>
      <c r="N574" t="s">
        <v>611</v>
      </c>
      <c r="P574">
        <f>VLOOKUP(Tabla3[[#This Row],[FECHA]],TASA[],2,FALSE)</f>
        <v>363.66</v>
      </c>
      <c r="Q574" s="4">
        <f t="shared" ref="Q574:Q575" si="86">D574/P574</f>
        <v>-0.15456745311554748</v>
      </c>
      <c r="R574" t="s">
        <v>1253</v>
      </c>
    </row>
    <row r="575" spans="1:18" x14ac:dyDescent="0.25">
      <c r="A575" s="33">
        <v>46051</v>
      </c>
      <c r="B575" s="1">
        <v>676206111002</v>
      </c>
      <c r="C575" s="2" t="s">
        <v>1251</v>
      </c>
      <c r="D575" s="34">
        <v>-1003.53</v>
      </c>
      <c r="E575" t="s">
        <v>20</v>
      </c>
      <c r="F575" s="2" t="e">
        <f>VLOOKUP(Tabla3[[#This Row],[CONTABLE]],'SAPROV (2)'!L:M,2,FALSE)</f>
        <v>#N/A</v>
      </c>
      <c r="H575" t="s">
        <v>588</v>
      </c>
      <c r="I575" s="2" t="str">
        <f>VLOOKUP(Tabla3[[#This Row],[Deposito]],'SAPROV (2)'!D:E,2,FALSE)</f>
        <v>A01</v>
      </c>
      <c r="K575" s="23" t="s">
        <v>23</v>
      </c>
      <c r="L575" s="23" t="str">
        <f>VLOOKUP(Tabla3[[#This Row],[PROVEEDOR]],'SAPROV (2)'!A:B,2,FALSE)</f>
        <v>04</v>
      </c>
      <c r="M575" t="str">
        <f>VLOOKUP(Tabla3[[#This Row],[SERVICIO]],'SAPROV (2)'!I:J,2,FALSE)</f>
        <v>SERV0060</v>
      </c>
      <c r="N575" t="s">
        <v>611</v>
      </c>
      <c r="P575">
        <f>VLOOKUP(Tabla3[[#This Row],[FECHA]],TASA[],2,FALSE)</f>
        <v>363.66</v>
      </c>
      <c r="Q575" s="4">
        <f t="shared" si="86"/>
        <v>-2.759528130671506</v>
      </c>
      <c r="R575" t="s">
        <v>1253</v>
      </c>
    </row>
    <row r="576" spans="1:18" x14ac:dyDescent="0.25">
      <c r="A576" s="33">
        <v>46051</v>
      </c>
      <c r="B576" s="1">
        <v>676206110001</v>
      </c>
      <c r="C576" s="2" t="s">
        <v>1251</v>
      </c>
      <c r="D576" s="34">
        <v>-418.29</v>
      </c>
      <c r="E576" t="s">
        <v>20</v>
      </c>
      <c r="F576" s="2" t="e">
        <f>VLOOKUP(Tabla3[[#This Row],[CONTABLE]],'SAPROV (2)'!L:M,2,FALSE)</f>
        <v>#N/A</v>
      </c>
      <c r="H576" t="s">
        <v>588</v>
      </c>
      <c r="I576" s="2" t="str">
        <f>VLOOKUP(Tabla3[[#This Row],[Deposito]],'SAPROV (2)'!D:E,2,FALSE)</f>
        <v>A01</v>
      </c>
      <c r="K576" s="23" t="s">
        <v>23</v>
      </c>
      <c r="L576" s="23" t="str">
        <f>VLOOKUP(Tabla3[[#This Row],[PROVEEDOR]],'SAPROV (2)'!A:B,2,FALSE)</f>
        <v>04</v>
      </c>
      <c r="M576" t="str">
        <f>VLOOKUP(Tabla3[[#This Row],[SERVICIO]],'SAPROV (2)'!I:J,2,FALSE)</f>
        <v>SERV0060</v>
      </c>
      <c r="N576" t="s">
        <v>611</v>
      </c>
      <c r="P576">
        <f>VLOOKUP(Tabla3[[#This Row],[FECHA]],TASA[],2,FALSE)</f>
        <v>363.66</v>
      </c>
      <c r="Q576" s="4">
        <f>D576/P576</f>
        <v>-1.150222735522191</v>
      </c>
      <c r="R576" t="s">
        <v>1253</v>
      </c>
    </row>
    <row r="577" spans="1:18" x14ac:dyDescent="0.25">
      <c r="A577" s="33">
        <v>46051</v>
      </c>
      <c r="B577" s="1">
        <v>676229482003</v>
      </c>
      <c r="C577" s="2" t="s">
        <v>1251</v>
      </c>
      <c r="D577" s="34">
        <v>-2500</v>
      </c>
      <c r="E577" t="s">
        <v>20</v>
      </c>
      <c r="F577" s="2" t="e">
        <f>VLOOKUP(Tabla3[[#This Row],[CONTABLE]],'SAPROV (2)'!L:M,2,FALSE)</f>
        <v>#N/A</v>
      </c>
      <c r="H577" t="s">
        <v>588</v>
      </c>
      <c r="I577" s="2" t="str">
        <f>VLOOKUP(Tabla3[[#This Row],[Deposito]],'SAPROV (2)'!D:E,2,FALSE)</f>
        <v>A01</v>
      </c>
      <c r="K577" s="23" t="s">
        <v>23</v>
      </c>
      <c r="L577" s="2" t="str">
        <f>VLOOKUP(Tabla3[[#This Row],[PROVEEDOR]],'SAPROV (2)'!A:B,2,FALSE)</f>
        <v>04</v>
      </c>
      <c r="M577" t="str">
        <f>VLOOKUP(Tabla3[[#This Row],[SERVICIO]],'SAPROV (2)'!I:J,2,FALSE)</f>
        <v>SERV0060</v>
      </c>
      <c r="N577" t="s">
        <v>611</v>
      </c>
      <c r="P577">
        <f>VLOOKUP(Tabla3[[#This Row],[FECHA]],TASA[],2,FALSE)</f>
        <v>363.66</v>
      </c>
      <c r="Q577" s="4">
        <f>D577/P577</f>
        <v>-6.8745531540449862</v>
      </c>
      <c r="R577" t="s">
        <v>1253</v>
      </c>
    </row>
    <row r="578" spans="1:18" x14ac:dyDescent="0.25">
      <c r="A578" s="33">
        <v>46051</v>
      </c>
      <c r="B578" s="1">
        <v>676229480001</v>
      </c>
      <c r="C578" s="2" t="s">
        <v>1251</v>
      </c>
      <c r="D578" s="34">
        <v>-2500</v>
      </c>
      <c r="E578" t="s">
        <v>20</v>
      </c>
      <c r="F578" s="2" t="e">
        <f>VLOOKUP(Tabla3[[#This Row],[CONTABLE]],'SAPROV (2)'!L:M,2,FALSE)</f>
        <v>#N/A</v>
      </c>
      <c r="H578" t="s">
        <v>588</v>
      </c>
      <c r="I578" s="2" t="str">
        <f>VLOOKUP(Tabla3[[#This Row],[Deposito]],'SAPROV (2)'!D:E,2,FALSE)</f>
        <v>A01</v>
      </c>
      <c r="K578" s="23" t="s">
        <v>23</v>
      </c>
      <c r="L578" s="23" t="str">
        <f>VLOOKUP(Tabla3[[#This Row],[PROVEEDOR]],'SAPROV (2)'!A:B,2,FALSE)</f>
        <v>04</v>
      </c>
      <c r="M578" t="str">
        <f>VLOOKUP(Tabla3[[#This Row],[SERVICIO]],'SAPROV (2)'!I:J,2,FALSE)</f>
        <v>SERV0060</v>
      </c>
      <c r="N578" t="s">
        <v>611</v>
      </c>
      <c r="P578">
        <f>VLOOKUP(Tabla3[[#This Row],[FECHA]],TASA[],2,FALSE)</f>
        <v>363.66</v>
      </c>
      <c r="Q578" s="4">
        <f t="shared" ref="Q578:Q579" si="87">D578/P578</f>
        <v>-6.8745531540449862</v>
      </c>
      <c r="R578" t="s">
        <v>1253</v>
      </c>
    </row>
    <row r="579" spans="1:18" x14ac:dyDescent="0.25">
      <c r="A579" s="33">
        <v>46051</v>
      </c>
      <c r="B579" s="1">
        <v>676229484005</v>
      </c>
      <c r="C579" s="2" t="s">
        <v>1251</v>
      </c>
      <c r="D579" s="34">
        <v>-2500</v>
      </c>
      <c r="E579" t="s">
        <v>20</v>
      </c>
      <c r="F579" s="2" t="e">
        <f>VLOOKUP(Tabla3[[#This Row],[CONTABLE]],'SAPROV (2)'!L:M,2,FALSE)</f>
        <v>#N/A</v>
      </c>
      <c r="H579" t="s">
        <v>588</v>
      </c>
      <c r="I579" s="2" t="str">
        <f>VLOOKUP(Tabla3[[#This Row],[Deposito]],'SAPROV (2)'!D:E,2,FALSE)</f>
        <v>A01</v>
      </c>
      <c r="K579" s="23" t="s">
        <v>23</v>
      </c>
      <c r="L579" s="23" t="str">
        <f>VLOOKUP(Tabla3[[#This Row],[PROVEEDOR]],'SAPROV (2)'!A:B,2,FALSE)</f>
        <v>04</v>
      </c>
      <c r="M579" t="str">
        <f>VLOOKUP(Tabla3[[#This Row],[SERVICIO]],'SAPROV (2)'!I:J,2,FALSE)</f>
        <v>SERV0060</v>
      </c>
      <c r="N579" t="s">
        <v>611</v>
      </c>
      <c r="P579">
        <f>VLOOKUP(Tabla3[[#This Row],[FECHA]],TASA[],2,FALSE)</f>
        <v>363.66</v>
      </c>
      <c r="Q579" s="4">
        <f t="shared" si="87"/>
        <v>-6.8745531540449862</v>
      </c>
      <c r="R579" t="s">
        <v>1253</v>
      </c>
    </row>
    <row r="580" spans="1:18" x14ac:dyDescent="0.25">
      <c r="A580" s="33">
        <v>46051</v>
      </c>
      <c r="B580" s="1">
        <v>676229483004</v>
      </c>
      <c r="C580" s="2" t="s">
        <v>1251</v>
      </c>
      <c r="D580" s="34">
        <v>-2500</v>
      </c>
      <c r="E580" t="s">
        <v>20</v>
      </c>
      <c r="F580" s="2" t="e">
        <f>VLOOKUP(Tabla3[[#This Row],[CONTABLE]],'SAPROV (2)'!L:M,2,FALSE)</f>
        <v>#N/A</v>
      </c>
      <c r="H580" t="s">
        <v>588</v>
      </c>
      <c r="I580" s="2" t="str">
        <f>VLOOKUP(Tabla3[[#This Row],[Deposito]],'SAPROV (2)'!D:E,2,FALSE)</f>
        <v>A01</v>
      </c>
      <c r="K580" s="23" t="s">
        <v>23</v>
      </c>
      <c r="L580" s="2" t="str">
        <f>VLOOKUP(Tabla3[[#This Row],[PROVEEDOR]],'SAPROV (2)'!A:B,2,FALSE)</f>
        <v>04</v>
      </c>
      <c r="M580" t="str">
        <f>VLOOKUP(Tabla3[[#This Row],[SERVICIO]],'SAPROV (2)'!I:J,2,FALSE)</f>
        <v>SERV0060</v>
      </c>
      <c r="N580" t="s">
        <v>611</v>
      </c>
      <c r="P580">
        <f>VLOOKUP(Tabla3[[#This Row],[FECHA]],TASA[],2,FALSE)</f>
        <v>363.66</v>
      </c>
      <c r="Q580" s="4">
        <f t="shared" ref="Q580:Q581" si="88">D580/P580</f>
        <v>-6.8745531540449862</v>
      </c>
      <c r="R580" t="s">
        <v>1253</v>
      </c>
    </row>
    <row r="581" spans="1:18" x14ac:dyDescent="0.25">
      <c r="A581" s="33">
        <v>46051</v>
      </c>
      <c r="B581" s="1">
        <v>676229488009</v>
      </c>
      <c r="C581" s="2" t="s">
        <v>1251</v>
      </c>
      <c r="D581" s="34">
        <v>-2500</v>
      </c>
      <c r="E581" t="s">
        <v>20</v>
      </c>
      <c r="F581" s="2" t="e">
        <f>VLOOKUP(Tabla3[[#This Row],[CONTABLE]],'SAPROV (2)'!L:M,2,FALSE)</f>
        <v>#N/A</v>
      </c>
      <c r="H581" t="s">
        <v>588</v>
      </c>
      <c r="I581" s="2" t="str">
        <f>VLOOKUP(Tabla3[[#This Row],[Deposito]],'SAPROV (2)'!D:E,2,FALSE)</f>
        <v>A01</v>
      </c>
      <c r="K581" s="23" t="s">
        <v>23</v>
      </c>
      <c r="L581" s="23" t="str">
        <f>VLOOKUP(Tabla3[[#This Row],[PROVEEDOR]],'SAPROV (2)'!A:B,2,FALSE)</f>
        <v>04</v>
      </c>
      <c r="M581" t="str">
        <f>VLOOKUP(Tabla3[[#This Row],[SERVICIO]],'SAPROV (2)'!I:J,2,FALSE)</f>
        <v>SERV0060</v>
      </c>
      <c r="N581" t="s">
        <v>611</v>
      </c>
      <c r="P581">
        <f>VLOOKUP(Tabla3[[#This Row],[FECHA]],TASA[],2,FALSE)</f>
        <v>363.66</v>
      </c>
      <c r="Q581" s="4">
        <f t="shared" si="88"/>
        <v>-6.8745531540449862</v>
      </c>
      <c r="R581" t="s">
        <v>1253</v>
      </c>
    </row>
    <row r="582" spans="1:18" x14ac:dyDescent="0.25">
      <c r="A582" s="33">
        <v>46051</v>
      </c>
      <c r="B582" s="1">
        <v>676229491008</v>
      </c>
      <c r="C582" s="2" t="s">
        <v>1251</v>
      </c>
      <c r="D582" s="34">
        <v>-1138.22</v>
      </c>
      <c r="E582" t="s">
        <v>20</v>
      </c>
      <c r="F582" s="2" t="e">
        <f>VLOOKUP(Tabla3[[#This Row],[CONTABLE]],'SAPROV (2)'!L:M,2,FALSE)</f>
        <v>#N/A</v>
      </c>
      <c r="H582" t="s">
        <v>588</v>
      </c>
      <c r="I582" s="2" t="str">
        <f>VLOOKUP(Tabla3[[#This Row],[Deposito]],'SAPROV (2)'!D:E,2,FALSE)</f>
        <v>A01</v>
      </c>
      <c r="K582" s="23" t="s">
        <v>23</v>
      </c>
      <c r="L582" s="23" t="str">
        <f>VLOOKUP(Tabla3[[#This Row],[PROVEEDOR]],'SAPROV (2)'!A:B,2,FALSE)</f>
        <v>04</v>
      </c>
      <c r="M582" t="str">
        <f>VLOOKUP(Tabla3[[#This Row],[SERVICIO]],'SAPROV (2)'!I:J,2,FALSE)</f>
        <v>SERV0060</v>
      </c>
      <c r="N582" t="s">
        <v>611</v>
      </c>
      <c r="P582">
        <f>VLOOKUP(Tabla3[[#This Row],[FECHA]],TASA[],2,FALSE)</f>
        <v>363.66</v>
      </c>
      <c r="Q582" s="4">
        <f>D582/P582</f>
        <v>-3.1299015563988339</v>
      </c>
      <c r="R582" t="s">
        <v>1253</v>
      </c>
    </row>
    <row r="583" spans="1:18" x14ac:dyDescent="0.25">
      <c r="A583" s="33">
        <v>46051</v>
      </c>
      <c r="B583" s="1">
        <v>676229489009</v>
      </c>
      <c r="C583" s="2" t="s">
        <v>1251</v>
      </c>
      <c r="D583" s="34">
        <v>-2500</v>
      </c>
      <c r="E583" t="s">
        <v>20</v>
      </c>
      <c r="F583" s="2" t="e">
        <f>VLOOKUP(Tabla3[[#This Row],[CONTABLE]],'SAPROV (2)'!L:M,2,FALSE)</f>
        <v>#N/A</v>
      </c>
      <c r="H583" t="s">
        <v>588</v>
      </c>
      <c r="I583" s="2" t="str">
        <f>VLOOKUP(Tabla3[[#This Row],[Deposito]],'SAPROV (2)'!D:E,2,FALSE)</f>
        <v>A01</v>
      </c>
      <c r="K583" s="23" t="s">
        <v>23</v>
      </c>
      <c r="L583" s="2" t="str">
        <f>VLOOKUP(Tabla3[[#This Row],[PROVEEDOR]],'SAPROV (2)'!A:B,2,FALSE)</f>
        <v>04</v>
      </c>
      <c r="M583" t="str">
        <f>VLOOKUP(Tabla3[[#This Row],[SERVICIO]],'SAPROV (2)'!I:J,2,FALSE)</f>
        <v>SERV0060</v>
      </c>
      <c r="N583" t="s">
        <v>611</v>
      </c>
      <c r="P583">
        <f>VLOOKUP(Tabla3[[#This Row],[FECHA]],TASA[],2,FALSE)</f>
        <v>363.66</v>
      </c>
      <c r="Q583" s="4">
        <f>D583/P583</f>
        <v>-6.8745531540449862</v>
      </c>
      <c r="R583" t="s">
        <v>1253</v>
      </c>
    </row>
    <row r="584" spans="1:18" x14ac:dyDescent="0.25">
      <c r="A584" s="33">
        <v>46051</v>
      </c>
      <c r="B584" s="1">
        <v>676229490009</v>
      </c>
      <c r="C584" s="2" t="s">
        <v>1251</v>
      </c>
      <c r="D584" s="34">
        <v>-2500</v>
      </c>
      <c r="E584" t="s">
        <v>20</v>
      </c>
      <c r="F584" s="2" t="e">
        <f>VLOOKUP(Tabla3[[#This Row],[CONTABLE]],'SAPROV (2)'!L:M,2,FALSE)</f>
        <v>#N/A</v>
      </c>
      <c r="H584" t="s">
        <v>588</v>
      </c>
      <c r="I584" s="2" t="str">
        <f>VLOOKUP(Tabla3[[#This Row],[Deposito]],'SAPROV (2)'!D:E,2,FALSE)</f>
        <v>A01</v>
      </c>
      <c r="K584" s="23" t="s">
        <v>23</v>
      </c>
      <c r="L584" s="23" t="str">
        <f>VLOOKUP(Tabla3[[#This Row],[PROVEEDOR]],'SAPROV (2)'!A:B,2,FALSE)</f>
        <v>04</v>
      </c>
      <c r="M584" t="str">
        <f>VLOOKUP(Tabla3[[#This Row],[SERVICIO]],'SAPROV (2)'!I:J,2,FALSE)</f>
        <v>SERV0060</v>
      </c>
      <c r="N584" t="s">
        <v>611</v>
      </c>
      <c r="P584">
        <f>VLOOKUP(Tabla3[[#This Row],[FECHA]],TASA[],2,FALSE)</f>
        <v>363.66</v>
      </c>
      <c r="Q584" s="4">
        <f t="shared" ref="Q584:Q585" si="89">D584/P584</f>
        <v>-6.8745531540449862</v>
      </c>
      <c r="R584" t="s">
        <v>1253</v>
      </c>
    </row>
    <row r="585" spans="1:18" x14ac:dyDescent="0.25">
      <c r="A585" s="33">
        <v>46051</v>
      </c>
      <c r="B585" s="1">
        <v>676229485006</v>
      </c>
      <c r="C585" s="2" t="s">
        <v>1251</v>
      </c>
      <c r="D585" s="34">
        <v>-2500</v>
      </c>
      <c r="E585" t="s">
        <v>20</v>
      </c>
      <c r="F585" s="2" t="e">
        <f>VLOOKUP(Tabla3[[#This Row],[CONTABLE]],'SAPROV (2)'!L:M,2,FALSE)</f>
        <v>#N/A</v>
      </c>
      <c r="H585" t="s">
        <v>588</v>
      </c>
      <c r="I585" s="2" t="str">
        <f>VLOOKUP(Tabla3[[#This Row],[Deposito]],'SAPROV (2)'!D:E,2,FALSE)</f>
        <v>A01</v>
      </c>
      <c r="K585" s="23" t="s">
        <v>23</v>
      </c>
      <c r="L585" s="23" t="str">
        <f>VLOOKUP(Tabla3[[#This Row],[PROVEEDOR]],'SAPROV (2)'!A:B,2,FALSE)</f>
        <v>04</v>
      </c>
      <c r="M585" t="str">
        <f>VLOOKUP(Tabla3[[#This Row],[SERVICIO]],'SAPROV (2)'!I:J,2,FALSE)</f>
        <v>SERV0060</v>
      </c>
      <c r="N585" t="s">
        <v>611</v>
      </c>
      <c r="P585">
        <f>VLOOKUP(Tabla3[[#This Row],[FECHA]],TASA[],2,FALSE)</f>
        <v>363.66</v>
      </c>
      <c r="Q585" s="4">
        <f t="shared" si="89"/>
        <v>-6.8745531540449862</v>
      </c>
      <c r="R585" t="s">
        <v>1253</v>
      </c>
    </row>
    <row r="586" spans="1:18" x14ac:dyDescent="0.25">
      <c r="A586" s="33">
        <v>46051</v>
      </c>
      <c r="B586" s="1">
        <v>676229481002</v>
      </c>
      <c r="C586" s="2" t="s">
        <v>1251</v>
      </c>
      <c r="D586" s="34">
        <v>-2500</v>
      </c>
      <c r="E586" t="s">
        <v>20</v>
      </c>
      <c r="F586" s="2" t="e">
        <f>VLOOKUP(Tabla3[[#This Row],[CONTABLE]],'SAPROV (2)'!L:M,2,FALSE)</f>
        <v>#N/A</v>
      </c>
      <c r="H586" t="s">
        <v>588</v>
      </c>
      <c r="I586" s="2" t="str">
        <f>VLOOKUP(Tabla3[[#This Row],[Deposito]],'SAPROV (2)'!D:E,2,FALSE)</f>
        <v>A01</v>
      </c>
      <c r="K586" s="23" t="s">
        <v>23</v>
      </c>
      <c r="L586" s="2" t="str">
        <f>VLOOKUP(Tabla3[[#This Row],[PROVEEDOR]],'SAPROV (2)'!A:B,2,FALSE)</f>
        <v>04</v>
      </c>
      <c r="M586" t="str">
        <f>VLOOKUP(Tabla3[[#This Row],[SERVICIO]],'SAPROV (2)'!I:J,2,FALSE)</f>
        <v>SERV0060</v>
      </c>
      <c r="N586" t="s">
        <v>611</v>
      </c>
      <c r="P586">
        <f>VLOOKUP(Tabla3[[#This Row],[FECHA]],TASA[],2,FALSE)</f>
        <v>363.66</v>
      </c>
      <c r="Q586" s="4">
        <f t="shared" ref="Q586:Q591" si="90">D586/P586</f>
        <v>-6.8745531540449862</v>
      </c>
      <c r="R586" t="s">
        <v>1253</v>
      </c>
    </row>
    <row r="587" spans="1:18" x14ac:dyDescent="0.25">
      <c r="A587" s="33">
        <v>46051</v>
      </c>
      <c r="B587" s="1">
        <v>676229487008</v>
      </c>
      <c r="C587" s="2" t="s">
        <v>1251</v>
      </c>
      <c r="D587" s="34">
        <v>-2500</v>
      </c>
      <c r="E587" t="s">
        <v>20</v>
      </c>
      <c r="F587" s="2" t="e">
        <f>VLOOKUP(Tabla3[[#This Row],[CONTABLE]],'SAPROV (2)'!L:M,2,FALSE)</f>
        <v>#N/A</v>
      </c>
      <c r="H587" t="s">
        <v>588</v>
      </c>
      <c r="I587" s="2" t="str">
        <f>VLOOKUP(Tabla3[[#This Row],[Deposito]],'SAPROV (2)'!D:E,2,FALSE)</f>
        <v>A01</v>
      </c>
      <c r="K587" s="23" t="s">
        <v>23</v>
      </c>
      <c r="L587" s="23" t="str">
        <f>VLOOKUP(Tabla3[[#This Row],[PROVEEDOR]],'SAPROV (2)'!A:B,2,FALSE)</f>
        <v>04</v>
      </c>
      <c r="M587" t="str">
        <f>VLOOKUP(Tabla3[[#This Row],[SERVICIO]],'SAPROV (2)'!I:J,2,FALSE)</f>
        <v>SERV0060</v>
      </c>
      <c r="N587" t="s">
        <v>611</v>
      </c>
      <c r="P587">
        <f>VLOOKUP(Tabla3[[#This Row],[FECHA]],TASA[],2,FALSE)</f>
        <v>363.66</v>
      </c>
      <c r="Q587" s="4">
        <f t="shared" si="90"/>
        <v>-6.8745531540449862</v>
      </c>
      <c r="R587" t="s">
        <v>1253</v>
      </c>
    </row>
    <row r="588" spans="1:18" x14ac:dyDescent="0.25">
      <c r="A588" s="33">
        <v>46051</v>
      </c>
      <c r="B588" s="1">
        <v>676229486007</v>
      </c>
      <c r="C588" s="2" t="s">
        <v>1251</v>
      </c>
      <c r="D588" s="34">
        <v>-2500</v>
      </c>
      <c r="E588" t="s">
        <v>20</v>
      </c>
      <c r="F588" s="2" t="e">
        <f>VLOOKUP(Tabla3[[#This Row],[CONTABLE]],'SAPROV (2)'!L:M,2,FALSE)</f>
        <v>#N/A</v>
      </c>
      <c r="H588" t="s">
        <v>588</v>
      </c>
      <c r="I588" s="2" t="str">
        <f>VLOOKUP(Tabla3[[#This Row],[Deposito]],'SAPROV (2)'!D:E,2,FALSE)</f>
        <v>A01</v>
      </c>
      <c r="K588" s="23" t="s">
        <v>23</v>
      </c>
      <c r="L588" s="23" t="str">
        <f>VLOOKUP(Tabla3[[#This Row],[PROVEEDOR]],'SAPROV (2)'!A:B,2,FALSE)</f>
        <v>04</v>
      </c>
      <c r="M588" t="str">
        <f>VLOOKUP(Tabla3[[#This Row],[SERVICIO]],'SAPROV (2)'!I:J,2,FALSE)</f>
        <v>SERV0060</v>
      </c>
      <c r="N588" t="s">
        <v>611</v>
      </c>
      <c r="P588">
        <f>VLOOKUP(Tabla3[[#This Row],[FECHA]],TASA[],2,FALSE)</f>
        <v>363.66</v>
      </c>
      <c r="Q588" s="4">
        <f t="shared" si="90"/>
        <v>-6.8745531540449862</v>
      </c>
      <c r="R588" t="s">
        <v>1253</v>
      </c>
    </row>
    <row r="589" spans="1:18" x14ac:dyDescent="0.25">
      <c r="A589" s="33">
        <v>46052</v>
      </c>
      <c r="B589" s="1">
        <v>9884830012026</v>
      </c>
      <c r="C589" s="2" t="s">
        <v>1252</v>
      </c>
      <c r="D589" s="34">
        <v>-12.9</v>
      </c>
      <c r="E589" t="s">
        <v>20</v>
      </c>
      <c r="F589" s="2" t="e">
        <f>VLOOKUP(Tabla3[[#This Row],[CONTABLE]],'SAPROV (2)'!L:M,2,FALSE)</f>
        <v>#N/A</v>
      </c>
      <c r="H589" t="s">
        <v>588</v>
      </c>
      <c r="I589" s="2" t="str">
        <f>VLOOKUP(Tabla3[[#This Row],[Deposito]],'SAPROV (2)'!D:E,2,FALSE)</f>
        <v>A01</v>
      </c>
      <c r="K589" s="23" t="s">
        <v>23</v>
      </c>
      <c r="L589" s="2" t="str">
        <f>VLOOKUP(Tabla3[[#This Row],[PROVEEDOR]],'SAPROV (2)'!A:B,2,FALSE)</f>
        <v>04</v>
      </c>
      <c r="M589" t="str">
        <f>VLOOKUP(Tabla3[[#This Row],[SERVICIO]],'SAPROV (2)'!I:J,2,FALSE)</f>
        <v>SERV0060</v>
      </c>
      <c r="N589" t="s">
        <v>611</v>
      </c>
      <c r="P589">
        <f>VLOOKUP(Tabla3[[#This Row],[FECHA]],TASA[],2,FALSE)</f>
        <v>367.31</v>
      </c>
      <c r="Q589" s="4">
        <f t="shared" si="90"/>
        <v>-3.5120198197707661E-2</v>
      </c>
      <c r="R589" t="s">
        <v>1253</v>
      </c>
    </row>
    <row r="590" spans="1:18" x14ac:dyDescent="0.25">
      <c r="A590" s="33">
        <v>46030</v>
      </c>
      <c r="B590" s="1">
        <v>60172426</v>
      </c>
      <c r="C590" s="2" t="s">
        <v>1254</v>
      </c>
      <c r="D590" s="34">
        <v>-2226.13</v>
      </c>
      <c r="E590" t="s">
        <v>20</v>
      </c>
      <c r="F590" s="2" t="e">
        <f>VLOOKUP(Tabla3[[#This Row],[CONTABLE]],'SAPROV (2)'!L:M,2,FALSE)</f>
        <v>#N/A</v>
      </c>
      <c r="H590" t="s">
        <v>588</v>
      </c>
      <c r="I590" s="2" t="str">
        <f>VLOOKUP(Tabla3[[#This Row],[Deposito]],'SAPROV (2)'!D:E,2,FALSE)</f>
        <v>A01</v>
      </c>
      <c r="K590" s="23" t="s">
        <v>23</v>
      </c>
      <c r="L590" s="23" t="str">
        <f>VLOOKUP(Tabla3[[#This Row],[PROVEEDOR]],'SAPROV (2)'!A:B,2,FALSE)</f>
        <v>04</v>
      </c>
      <c r="M590" t="str">
        <f>VLOOKUP(Tabla3[[#This Row],[SERVICIO]],'SAPROV (2)'!I:J,2,FALSE)</f>
        <v>SERV0060</v>
      </c>
      <c r="N590" t="s">
        <v>611</v>
      </c>
      <c r="P590">
        <f>VLOOKUP(Tabla3[[#This Row],[FECHA]],TASA[],2,FALSE)</f>
        <v>321.02999999999997</v>
      </c>
      <c r="Q590" s="35">
        <f t="shared" si="90"/>
        <v>-6.9343363548578028</v>
      </c>
      <c r="R590" t="s">
        <v>1268</v>
      </c>
    </row>
    <row r="591" spans="1:18" x14ac:dyDescent="0.25">
      <c r="A591" s="33">
        <v>46031</v>
      </c>
      <c r="B591" s="1">
        <v>60194586</v>
      </c>
      <c r="C591" s="2" t="s">
        <v>1254</v>
      </c>
      <c r="D591" s="34">
        <v>-3337.32</v>
      </c>
      <c r="E591" t="s">
        <v>20</v>
      </c>
      <c r="F591" s="2" t="e">
        <f>VLOOKUP(Tabla3[[#This Row],[CONTABLE]],'SAPROV (2)'!L:M,2,FALSE)</f>
        <v>#N/A</v>
      </c>
      <c r="H591" t="s">
        <v>588</v>
      </c>
      <c r="I591" s="2" t="str">
        <f>VLOOKUP(Tabla3[[#This Row],[Deposito]],'SAPROV (2)'!D:E,2,FALSE)</f>
        <v>A01</v>
      </c>
      <c r="K591" s="23" t="s">
        <v>23</v>
      </c>
      <c r="L591" s="23" t="str">
        <f>VLOOKUP(Tabla3[[#This Row],[PROVEEDOR]],'SAPROV (2)'!A:B,2,FALSE)</f>
        <v>04</v>
      </c>
      <c r="M591" t="str">
        <f>VLOOKUP(Tabla3[[#This Row],[SERVICIO]],'SAPROV (2)'!I:J,2,FALSE)</f>
        <v>SERV0060</v>
      </c>
      <c r="N591" t="s">
        <v>611</v>
      </c>
      <c r="P591">
        <f>VLOOKUP(Tabla3[[#This Row],[FECHA]],TASA[],2,FALSE)</f>
        <v>325.39</v>
      </c>
      <c r="Q591" s="35">
        <f t="shared" si="90"/>
        <v>-10.256369279940994</v>
      </c>
      <c r="R591" t="s">
        <v>1268</v>
      </c>
    </row>
    <row r="592" spans="1:18" x14ac:dyDescent="0.25">
      <c r="A592" s="33">
        <v>46035</v>
      </c>
      <c r="B592" s="1">
        <v>920346309</v>
      </c>
      <c r="C592" s="2" t="s">
        <v>1255</v>
      </c>
      <c r="D592" s="34">
        <v>-19822.8</v>
      </c>
      <c r="E592" t="s">
        <v>20</v>
      </c>
      <c r="F592" s="2" t="e">
        <f>VLOOKUP(Tabla3[[#This Row],[CONTABLE]],'SAPROV (2)'!L:M,2,FALSE)</f>
        <v>#N/A</v>
      </c>
      <c r="H592" t="s">
        <v>1278</v>
      </c>
      <c r="I592" s="2" t="str">
        <f>VLOOKUP(Tabla3[[#This Row],[Deposito]],'SAPROV (2)'!D:E,2,FALSE)</f>
        <v>06</v>
      </c>
      <c r="K592" s="2" t="s">
        <v>101</v>
      </c>
      <c r="L592" s="2" t="str">
        <f>VLOOKUP(Tabla3[[#This Row],[PROVEEDOR]],'SAPROV (2)'!A:B,2,FALSE)</f>
        <v>36</v>
      </c>
      <c r="M592" t="str">
        <f>VLOOKUP(Tabla3[[#This Row],[SERVICIO]],'SAPROV (2)'!I:J,2,FALSE)</f>
        <v>SERV0011</v>
      </c>
      <c r="N592" t="s">
        <v>927</v>
      </c>
      <c r="P592">
        <f>VLOOKUP(Tabla3[[#This Row],[FECHA]],TASA[],2,FALSE)</f>
        <v>330.38</v>
      </c>
      <c r="Q592" s="35">
        <f t="shared" ref="Q592:Q623" si="91">D592/P592</f>
        <v>-60</v>
      </c>
      <c r="R592" t="s">
        <v>1268</v>
      </c>
    </row>
    <row r="593" spans="1:18" x14ac:dyDescent="0.25">
      <c r="A593" s="33">
        <v>46035</v>
      </c>
      <c r="B593" s="1">
        <v>20346310</v>
      </c>
      <c r="C593" s="2" t="s">
        <v>1255</v>
      </c>
      <c r="D593" s="34">
        <v>-19822.8</v>
      </c>
      <c r="E593" t="s">
        <v>20</v>
      </c>
      <c r="F593" s="2" t="e">
        <f>VLOOKUP(Tabla3[[#This Row],[CONTABLE]],'SAPROV (2)'!L:M,2,FALSE)</f>
        <v>#N/A</v>
      </c>
      <c r="H593" t="s">
        <v>1278</v>
      </c>
      <c r="I593" s="2" t="str">
        <f>VLOOKUP(Tabla3[[#This Row],[Deposito]],'SAPROV (2)'!D:E,2,FALSE)</f>
        <v>06</v>
      </c>
      <c r="K593" s="2" t="s">
        <v>101</v>
      </c>
      <c r="L593" s="23" t="str">
        <f>VLOOKUP(Tabla3[[#This Row],[PROVEEDOR]],'SAPROV (2)'!A:B,2,FALSE)</f>
        <v>36</v>
      </c>
      <c r="M593" t="str">
        <f>VLOOKUP(Tabla3[[#This Row],[SERVICIO]],'SAPROV (2)'!I:J,2,FALSE)</f>
        <v>SERV0011</v>
      </c>
      <c r="N593" t="s">
        <v>927</v>
      </c>
      <c r="P593">
        <f>VLOOKUP(Tabla3[[#This Row],[FECHA]],TASA[],2,FALSE)</f>
        <v>330.38</v>
      </c>
      <c r="Q593" s="35">
        <f t="shared" si="91"/>
        <v>-60</v>
      </c>
      <c r="R593" t="s">
        <v>1268</v>
      </c>
    </row>
    <row r="594" spans="1:18" x14ac:dyDescent="0.25">
      <c r="A594" s="33">
        <v>46035</v>
      </c>
      <c r="B594" s="1">
        <v>20346312</v>
      </c>
      <c r="C594" s="2" t="s">
        <v>1255</v>
      </c>
      <c r="D594" s="34">
        <v>-19822.8</v>
      </c>
      <c r="E594" t="s">
        <v>20</v>
      </c>
      <c r="F594" s="2" t="e">
        <f>VLOOKUP(Tabla3[[#This Row],[CONTABLE]],'SAPROV (2)'!L:M,2,FALSE)</f>
        <v>#N/A</v>
      </c>
      <c r="H594" t="s">
        <v>1278</v>
      </c>
      <c r="I594" s="2" t="str">
        <f>VLOOKUP(Tabla3[[#This Row],[Deposito]],'SAPROV (2)'!D:E,2,FALSE)</f>
        <v>06</v>
      </c>
      <c r="K594" s="2" t="s">
        <v>101</v>
      </c>
      <c r="L594" s="23" t="str">
        <f>VLOOKUP(Tabla3[[#This Row],[PROVEEDOR]],'SAPROV (2)'!A:B,2,FALSE)</f>
        <v>36</v>
      </c>
      <c r="M594" t="str">
        <f>VLOOKUP(Tabla3[[#This Row],[SERVICIO]],'SAPROV (2)'!I:J,2,FALSE)</f>
        <v>SERV0011</v>
      </c>
      <c r="N594" t="s">
        <v>927</v>
      </c>
      <c r="P594">
        <f>VLOOKUP(Tabla3[[#This Row],[FECHA]],TASA[],2,FALSE)</f>
        <v>330.38</v>
      </c>
      <c r="Q594" s="35">
        <f t="shared" si="91"/>
        <v>-60</v>
      </c>
      <c r="R594" t="s">
        <v>1268</v>
      </c>
    </row>
    <row r="595" spans="1:18" x14ac:dyDescent="0.25">
      <c r="A595" s="33">
        <v>46035</v>
      </c>
      <c r="B595" s="1">
        <v>20346311</v>
      </c>
      <c r="C595" s="2" t="s">
        <v>1255</v>
      </c>
      <c r="D595" s="34">
        <v>-19822.8</v>
      </c>
      <c r="E595" t="s">
        <v>20</v>
      </c>
      <c r="F595" s="2" t="e">
        <f>VLOOKUP(Tabla3[[#This Row],[CONTABLE]],'SAPROV (2)'!L:M,2,FALSE)</f>
        <v>#N/A</v>
      </c>
      <c r="H595" t="s">
        <v>1278</v>
      </c>
      <c r="I595" s="2" t="str">
        <f>VLOOKUP(Tabla3[[#This Row],[Deposito]],'SAPROV (2)'!D:E,2,FALSE)</f>
        <v>06</v>
      </c>
      <c r="K595" s="2" t="s">
        <v>101</v>
      </c>
      <c r="L595" s="2" t="str">
        <f>VLOOKUP(Tabla3[[#This Row],[PROVEEDOR]],'SAPROV (2)'!A:B,2,FALSE)</f>
        <v>36</v>
      </c>
      <c r="M595" t="str">
        <f>VLOOKUP(Tabla3[[#This Row],[SERVICIO]],'SAPROV (2)'!I:J,2,FALSE)</f>
        <v>SERV0011</v>
      </c>
      <c r="N595" t="s">
        <v>927</v>
      </c>
      <c r="P595">
        <f>VLOOKUP(Tabla3[[#This Row],[FECHA]],TASA[],2,FALSE)</f>
        <v>330.38</v>
      </c>
      <c r="Q595" s="35">
        <f t="shared" si="91"/>
        <v>-60</v>
      </c>
      <c r="R595" t="s">
        <v>1268</v>
      </c>
    </row>
    <row r="596" spans="1:18" x14ac:dyDescent="0.25">
      <c r="A596" s="33">
        <v>46035</v>
      </c>
      <c r="B596" s="1">
        <v>20346314</v>
      </c>
      <c r="C596" s="2" t="s">
        <v>1255</v>
      </c>
      <c r="D596" s="34">
        <v>-19822.8</v>
      </c>
      <c r="E596" t="s">
        <v>20</v>
      </c>
      <c r="F596" s="2" t="e">
        <f>VLOOKUP(Tabla3[[#This Row],[CONTABLE]],'SAPROV (2)'!L:M,2,FALSE)</f>
        <v>#N/A</v>
      </c>
      <c r="H596" t="s">
        <v>1278</v>
      </c>
      <c r="I596" s="2" t="str">
        <f>VLOOKUP(Tabla3[[#This Row],[Deposito]],'SAPROV (2)'!D:E,2,FALSE)</f>
        <v>06</v>
      </c>
      <c r="K596" s="2" t="s">
        <v>101</v>
      </c>
      <c r="L596" s="23" t="str">
        <f>VLOOKUP(Tabla3[[#This Row],[PROVEEDOR]],'SAPROV (2)'!A:B,2,FALSE)</f>
        <v>36</v>
      </c>
      <c r="M596" t="str">
        <f>VLOOKUP(Tabla3[[#This Row],[SERVICIO]],'SAPROV (2)'!I:J,2,FALSE)</f>
        <v>SERV0011</v>
      </c>
      <c r="N596" t="s">
        <v>927</v>
      </c>
      <c r="P596">
        <f>VLOOKUP(Tabla3[[#This Row],[FECHA]],TASA[],2,FALSE)</f>
        <v>330.38</v>
      </c>
      <c r="Q596" s="35">
        <f t="shared" si="91"/>
        <v>-60</v>
      </c>
      <c r="R596" t="s">
        <v>1268</v>
      </c>
    </row>
    <row r="597" spans="1:18" x14ac:dyDescent="0.25">
      <c r="A597" s="33">
        <v>46035</v>
      </c>
      <c r="B597" s="1">
        <v>20346313</v>
      </c>
      <c r="C597" s="2" t="s">
        <v>1255</v>
      </c>
      <c r="D597" s="34">
        <v>-19822.8</v>
      </c>
      <c r="E597" t="s">
        <v>20</v>
      </c>
      <c r="F597" s="2" t="e">
        <f>VLOOKUP(Tabla3[[#This Row],[CONTABLE]],'SAPROV (2)'!L:M,2,FALSE)</f>
        <v>#N/A</v>
      </c>
      <c r="H597" t="s">
        <v>1278</v>
      </c>
      <c r="I597" s="2" t="str">
        <f>VLOOKUP(Tabla3[[#This Row],[Deposito]],'SAPROV (2)'!D:E,2,FALSE)</f>
        <v>06</v>
      </c>
      <c r="K597" s="2" t="s">
        <v>101</v>
      </c>
      <c r="L597" s="23" t="str">
        <f>VLOOKUP(Tabla3[[#This Row],[PROVEEDOR]],'SAPROV (2)'!A:B,2,FALSE)</f>
        <v>36</v>
      </c>
      <c r="M597" t="str">
        <f>VLOOKUP(Tabla3[[#This Row],[SERVICIO]],'SAPROV (2)'!I:J,2,FALSE)</f>
        <v>SERV0011</v>
      </c>
      <c r="N597" t="s">
        <v>927</v>
      </c>
      <c r="P597">
        <f>VLOOKUP(Tabla3[[#This Row],[FECHA]],TASA[],2,FALSE)</f>
        <v>330.38</v>
      </c>
      <c r="Q597" s="35">
        <f t="shared" si="91"/>
        <v>-60</v>
      </c>
      <c r="R597" t="s">
        <v>1268</v>
      </c>
    </row>
    <row r="598" spans="1:18" x14ac:dyDescent="0.25">
      <c r="A598" s="33">
        <v>46035</v>
      </c>
      <c r="B598" s="1">
        <v>20346315</v>
      </c>
      <c r="C598" s="2" t="s">
        <v>1255</v>
      </c>
      <c r="D598" s="34">
        <v>-19822.8</v>
      </c>
      <c r="E598" t="s">
        <v>20</v>
      </c>
      <c r="F598" s="2" t="e">
        <f>VLOOKUP(Tabla3[[#This Row],[CONTABLE]],'SAPROV (2)'!L:M,2,FALSE)</f>
        <v>#N/A</v>
      </c>
      <c r="H598" t="s">
        <v>1278</v>
      </c>
      <c r="I598" s="2" t="str">
        <f>VLOOKUP(Tabla3[[#This Row],[Deposito]],'SAPROV (2)'!D:E,2,FALSE)</f>
        <v>06</v>
      </c>
      <c r="K598" s="2" t="s">
        <v>101</v>
      </c>
      <c r="L598" s="2" t="str">
        <f>VLOOKUP(Tabla3[[#This Row],[PROVEEDOR]],'SAPROV (2)'!A:B,2,FALSE)</f>
        <v>36</v>
      </c>
      <c r="M598" t="str">
        <f>VLOOKUP(Tabla3[[#This Row],[SERVICIO]],'SAPROV (2)'!I:J,2,FALSE)</f>
        <v>SERV0011</v>
      </c>
      <c r="N598" t="s">
        <v>927</v>
      </c>
      <c r="P598">
        <f>VLOOKUP(Tabla3[[#This Row],[FECHA]],TASA[],2,FALSE)</f>
        <v>330.38</v>
      </c>
      <c r="Q598" s="35">
        <f t="shared" si="91"/>
        <v>-60</v>
      </c>
      <c r="R598" t="s">
        <v>1268</v>
      </c>
    </row>
    <row r="599" spans="1:18" x14ac:dyDescent="0.25">
      <c r="A599" s="33">
        <v>46035</v>
      </c>
      <c r="B599" s="1">
        <v>20346316</v>
      </c>
      <c r="C599" s="2" t="s">
        <v>1255</v>
      </c>
      <c r="D599" s="34">
        <v>-19822.8</v>
      </c>
      <c r="E599" t="s">
        <v>20</v>
      </c>
      <c r="F599" s="2" t="e">
        <f>VLOOKUP(Tabla3[[#This Row],[CONTABLE]],'SAPROV (2)'!L:M,2,FALSE)</f>
        <v>#N/A</v>
      </c>
      <c r="H599" t="s">
        <v>1278</v>
      </c>
      <c r="I599" s="2" t="str">
        <f>VLOOKUP(Tabla3[[#This Row],[Deposito]],'SAPROV (2)'!D:E,2,FALSE)</f>
        <v>06</v>
      </c>
      <c r="K599" s="2" t="s">
        <v>101</v>
      </c>
      <c r="L599" s="23" t="str">
        <f>VLOOKUP(Tabla3[[#This Row],[PROVEEDOR]],'SAPROV (2)'!A:B,2,FALSE)</f>
        <v>36</v>
      </c>
      <c r="M599" t="str">
        <f>VLOOKUP(Tabla3[[#This Row],[SERVICIO]],'SAPROV (2)'!I:J,2,FALSE)</f>
        <v>SERV0011</v>
      </c>
      <c r="N599" t="s">
        <v>927</v>
      </c>
      <c r="P599">
        <f>VLOOKUP(Tabla3[[#This Row],[FECHA]],TASA[],2,FALSE)</f>
        <v>330.38</v>
      </c>
      <c r="Q599" s="35">
        <f t="shared" si="91"/>
        <v>-60</v>
      </c>
      <c r="R599" t="s">
        <v>1268</v>
      </c>
    </row>
    <row r="600" spans="1:18" x14ac:dyDescent="0.25">
      <c r="A600" s="33">
        <v>46035</v>
      </c>
      <c r="B600" s="1">
        <v>120346320</v>
      </c>
      <c r="C600" s="2" t="s">
        <v>1255</v>
      </c>
      <c r="D600" s="34">
        <v>-19822.8</v>
      </c>
      <c r="E600" t="s">
        <v>20</v>
      </c>
      <c r="F600" s="2" t="e">
        <f>VLOOKUP(Tabla3[[#This Row],[CONTABLE]],'SAPROV (2)'!L:M,2,FALSE)</f>
        <v>#N/A</v>
      </c>
      <c r="H600" t="s">
        <v>1278</v>
      </c>
      <c r="I600" s="2" t="str">
        <f>VLOOKUP(Tabla3[[#This Row],[Deposito]],'SAPROV (2)'!D:E,2,FALSE)</f>
        <v>06</v>
      </c>
      <c r="K600" s="2" t="s">
        <v>101</v>
      </c>
      <c r="L600" s="23" t="str">
        <f>VLOOKUP(Tabla3[[#This Row],[PROVEEDOR]],'SAPROV (2)'!A:B,2,FALSE)</f>
        <v>36</v>
      </c>
      <c r="M600" t="str">
        <f>VLOOKUP(Tabla3[[#This Row],[SERVICIO]],'SAPROV (2)'!I:J,2,FALSE)</f>
        <v>SERV0011</v>
      </c>
      <c r="N600" t="s">
        <v>927</v>
      </c>
      <c r="P600">
        <f>VLOOKUP(Tabla3[[#This Row],[FECHA]],TASA[],2,FALSE)</f>
        <v>330.38</v>
      </c>
      <c r="Q600" s="35">
        <f t="shared" si="91"/>
        <v>-60</v>
      </c>
      <c r="R600" t="s">
        <v>1268</v>
      </c>
    </row>
    <row r="601" spans="1:18" x14ac:dyDescent="0.25">
      <c r="A601" s="33">
        <v>46035</v>
      </c>
      <c r="B601" s="1">
        <v>20346317</v>
      </c>
      <c r="C601" s="2" t="s">
        <v>1282</v>
      </c>
      <c r="D601" s="34">
        <v>-19822.8</v>
      </c>
      <c r="E601" t="s">
        <v>20</v>
      </c>
      <c r="F601" s="2" t="e">
        <f>VLOOKUP(Tabla3[[#This Row],[CONTABLE]],'SAPROV (2)'!L:M,2,FALSE)</f>
        <v>#N/A</v>
      </c>
      <c r="H601" t="s">
        <v>1281</v>
      </c>
      <c r="I601" s="2" t="str">
        <f>VLOOKUP(Tabla3[[#This Row],[Deposito]],'SAPROV (2)'!D:E,2,FALSE)</f>
        <v>07</v>
      </c>
      <c r="K601" s="2" t="s">
        <v>101</v>
      </c>
      <c r="L601" s="2" t="str">
        <f>VLOOKUP(Tabla3[[#This Row],[PROVEEDOR]],'SAPROV (2)'!A:B,2,FALSE)</f>
        <v>36</v>
      </c>
      <c r="M601" t="str">
        <f>VLOOKUP(Tabla3[[#This Row],[SERVICIO]],'SAPROV (2)'!I:J,2,FALSE)</f>
        <v>SERV0011</v>
      </c>
      <c r="N601" t="s">
        <v>927</v>
      </c>
      <c r="P601">
        <f>VLOOKUP(Tabla3[[#This Row],[FECHA]],TASA[],2,FALSE)</f>
        <v>330.38</v>
      </c>
      <c r="Q601" s="35">
        <f t="shared" si="91"/>
        <v>-60</v>
      </c>
      <c r="R601" t="s">
        <v>1268</v>
      </c>
    </row>
    <row r="602" spans="1:18" x14ac:dyDescent="0.25">
      <c r="A602" s="33">
        <v>46035</v>
      </c>
      <c r="B602" s="1">
        <v>120346318</v>
      </c>
      <c r="C602" s="2" t="s">
        <v>1282</v>
      </c>
      <c r="D602" s="34">
        <v>-19822.8</v>
      </c>
      <c r="E602" t="s">
        <v>20</v>
      </c>
      <c r="F602" s="2" t="e">
        <f>VLOOKUP(Tabla3[[#This Row],[CONTABLE]],'SAPROV (2)'!L:M,2,FALSE)</f>
        <v>#N/A</v>
      </c>
      <c r="H602" t="s">
        <v>1281</v>
      </c>
      <c r="I602" s="2" t="str">
        <f>VLOOKUP(Tabla3[[#This Row],[Deposito]],'SAPROV (2)'!D:E,2,FALSE)</f>
        <v>07</v>
      </c>
      <c r="K602" s="2" t="s">
        <v>101</v>
      </c>
      <c r="L602" s="23" t="str">
        <f>VLOOKUP(Tabla3[[#This Row],[PROVEEDOR]],'SAPROV (2)'!A:B,2,FALSE)</f>
        <v>36</v>
      </c>
      <c r="M602" t="str">
        <f>VLOOKUP(Tabla3[[#This Row],[SERVICIO]],'SAPROV (2)'!I:J,2,FALSE)</f>
        <v>SERV0011</v>
      </c>
      <c r="N602" t="s">
        <v>927</v>
      </c>
      <c r="P602">
        <f>VLOOKUP(Tabla3[[#This Row],[FECHA]],TASA[],2,FALSE)</f>
        <v>330.38</v>
      </c>
      <c r="Q602" s="35">
        <f t="shared" si="91"/>
        <v>-60</v>
      </c>
      <c r="R602" t="s">
        <v>1268</v>
      </c>
    </row>
    <row r="603" spans="1:18" x14ac:dyDescent="0.25">
      <c r="A603" s="33">
        <v>46035</v>
      </c>
      <c r="B603" s="1">
        <v>120346319</v>
      </c>
      <c r="C603" s="2" t="s">
        <v>1282</v>
      </c>
      <c r="D603" s="34">
        <v>-19822.8</v>
      </c>
      <c r="E603" t="s">
        <v>20</v>
      </c>
      <c r="F603" s="2" t="e">
        <f>VLOOKUP(Tabla3[[#This Row],[CONTABLE]],'SAPROV (2)'!L:M,2,FALSE)</f>
        <v>#N/A</v>
      </c>
      <c r="H603" t="s">
        <v>1281</v>
      </c>
      <c r="I603" s="2" t="str">
        <f>VLOOKUP(Tabla3[[#This Row],[Deposito]],'SAPROV (2)'!D:E,2,FALSE)</f>
        <v>07</v>
      </c>
      <c r="K603" s="2" t="s">
        <v>101</v>
      </c>
      <c r="L603" s="23" t="str">
        <f>VLOOKUP(Tabla3[[#This Row],[PROVEEDOR]],'SAPROV (2)'!A:B,2,FALSE)</f>
        <v>36</v>
      </c>
      <c r="M603" t="str">
        <f>VLOOKUP(Tabla3[[#This Row],[SERVICIO]],'SAPROV (2)'!I:J,2,FALSE)</f>
        <v>SERV0011</v>
      </c>
      <c r="N603" t="s">
        <v>927</v>
      </c>
      <c r="P603">
        <f>VLOOKUP(Tabla3[[#This Row],[FECHA]],TASA[],2,FALSE)</f>
        <v>330.38</v>
      </c>
      <c r="Q603" s="35">
        <f t="shared" si="91"/>
        <v>-60</v>
      </c>
      <c r="R603" t="s">
        <v>1268</v>
      </c>
    </row>
    <row r="604" spans="1:18" x14ac:dyDescent="0.25">
      <c r="A604" s="33">
        <v>46035</v>
      </c>
      <c r="B604" s="1">
        <v>120346321</v>
      </c>
      <c r="C604" s="2" t="s">
        <v>1282</v>
      </c>
      <c r="D604" s="34">
        <v>-19822.8</v>
      </c>
      <c r="E604" t="s">
        <v>20</v>
      </c>
      <c r="F604" s="2" t="e">
        <f>VLOOKUP(Tabla3[[#This Row],[CONTABLE]],'SAPROV (2)'!L:M,2,FALSE)</f>
        <v>#N/A</v>
      </c>
      <c r="H604" t="s">
        <v>1281</v>
      </c>
      <c r="I604" s="2" t="str">
        <f>VLOOKUP(Tabla3[[#This Row],[Deposito]],'SAPROV (2)'!D:E,2,FALSE)</f>
        <v>07</v>
      </c>
      <c r="K604" s="2" t="s">
        <v>101</v>
      </c>
      <c r="L604" s="2" t="str">
        <f>VLOOKUP(Tabla3[[#This Row],[PROVEEDOR]],'SAPROV (2)'!A:B,2,FALSE)</f>
        <v>36</v>
      </c>
      <c r="M604" t="str">
        <f>VLOOKUP(Tabla3[[#This Row],[SERVICIO]],'SAPROV (2)'!I:J,2,FALSE)</f>
        <v>SERV0011</v>
      </c>
      <c r="N604" t="s">
        <v>927</v>
      </c>
      <c r="P604">
        <f>VLOOKUP(Tabla3[[#This Row],[FECHA]],TASA[],2,FALSE)</f>
        <v>330.38</v>
      </c>
      <c r="Q604" s="35">
        <f t="shared" si="91"/>
        <v>-60</v>
      </c>
      <c r="R604" t="s">
        <v>1268</v>
      </c>
    </row>
    <row r="605" spans="1:18" x14ac:dyDescent="0.25">
      <c r="A605" s="33">
        <v>46035</v>
      </c>
      <c r="B605" s="1">
        <v>120346325</v>
      </c>
      <c r="C605" s="2" t="s">
        <v>1282</v>
      </c>
      <c r="D605" s="34">
        <v>-19822.8</v>
      </c>
      <c r="E605" t="s">
        <v>20</v>
      </c>
      <c r="F605" s="2" t="e">
        <f>VLOOKUP(Tabla3[[#This Row],[CONTABLE]],'SAPROV (2)'!L:M,2,FALSE)</f>
        <v>#N/A</v>
      </c>
      <c r="H605" t="s">
        <v>1281</v>
      </c>
      <c r="I605" s="2" t="str">
        <f>VLOOKUP(Tabla3[[#This Row],[Deposito]],'SAPROV (2)'!D:E,2,FALSE)</f>
        <v>07</v>
      </c>
      <c r="K605" s="2" t="s">
        <v>101</v>
      </c>
      <c r="L605" s="23" t="str">
        <f>VLOOKUP(Tabla3[[#This Row],[PROVEEDOR]],'SAPROV (2)'!A:B,2,FALSE)</f>
        <v>36</v>
      </c>
      <c r="M605" t="str">
        <f>VLOOKUP(Tabla3[[#This Row],[SERVICIO]],'SAPROV (2)'!I:J,2,FALSE)</f>
        <v>SERV0011</v>
      </c>
      <c r="N605" t="s">
        <v>927</v>
      </c>
      <c r="P605">
        <f>VLOOKUP(Tabla3[[#This Row],[FECHA]],TASA[],2,FALSE)</f>
        <v>330.38</v>
      </c>
      <c r="Q605" s="35">
        <f t="shared" si="91"/>
        <v>-60</v>
      </c>
      <c r="R605" t="s">
        <v>1268</v>
      </c>
    </row>
    <row r="606" spans="1:18" x14ac:dyDescent="0.25">
      <c r="A606" s="33">
        <v>46035</v>
      </c>
      <c r="B606" s="1">
        <v>120346322</v>
      </c>
      <c r="C606" s="2" t="s">
        <v>1282</v>
      </c>
      <c r="D606" s="34">
        <v>-19822.8</v>
      </c>
      <c r="E606" t="s">
        <v>20</v>
      </c>
      <c r="F606" s="2" t="e">
        <f>VLOOKUP(Tabla3[[#This Row],[CONTABLE]],'SAPROV (2)'!L:M,2,FALSE)</f>
        <v>#N/A</v>
      </c>
      <c r="H606" t="s">
        <v>1281</v>
      </c>
      <c r="I606" s="2" t="str">
        <f>VLOOKUP(Tabla3[[#This Row],[Deposito]],'SAPROV (2)'!D:E,2,FALSE)</f>
        <v>07</v>
      </c>
      <c r="K606" s="2" t="s">
        <v>101</v>
      </c>
      <c r="L606" s="23" t="str">
        <f>VLOOKUP(Tabla3[[#This Row],[PROVEEDOR]],'SAPROV (2)'!A:B,2,FALSE)</f>
        <v>36</v>
      </c>
      <c r="M606" t="str">
        <f>VLOOKUP(Tabla3[[#This Row],[SERVICIO]],'SAPROV (2)'!I:J,2,FALSE)</f>
        <v>SERV0011</v>
      </c>
      <c r="N606" t="s">
        <v>927</v>
      </c>
      <c r="P606">
        <f>VLOOKUP(Tabla3[[#This Row],[FECHA]],TASA[],2,FALSE)</f>
        <v>330.38</v>
      </c>
      <c r="Q606" s="35">
        <f t="shared" si="91"/>
        <v>-60</v>
      </c>
      <c r="R606" t="s">
        <v>1268</v>
      </c>
    </row>
    <row r="607" spans="1:18" x14ac:dyDescent="0.25">
      <c r="A607" s="33">
        <v>46035</v>
      </c>
      <c r="B607" s="1">
        <v>120346324</v>
      </c>
      <c r="C607" s="2" t="s">
        <v>1282</v>
      </c>
      <c r="D607" s="34">
        <v>-19822.8</v>
      </c>
      <c r="E607" t="s">
        <v>20</v>
      </c>
      <c r="F607" s="2" t="e">
        <f>VLOOKUP(Tabla3[[#This Row],[CONTABLE]],'SAPROV (2)'!L:M,2,FALSE)</f>
        <v>#N/A</v>
      </c>
      <c r="H607" t="s">
        <v>1281</v>
      </c>
      <c r="I607" s="2" t="str">
        <f>VLOOKUP(Tabla3[[#This Row],[Deposito]],'SAPROV (2)'!D:E,2,FALSE)</f>
        <v>07</v>
      </c>
      <c r="K607" s="2" t="s">
        <v>101</v>
      </c>
      <c r="L607" s="2" t="str">
        <f>VLOOKUP(Tabla3[[#This Row],[PROVEEDOR]],'SAPROV (2)'!A:B,2,FALSE)</f>
        <v>36</v>
      </c>
      <c r="M607" t="str">
        <f>VLOOKUP(Tabla3[[#This Row],[SERVICIO]],'SAPROV (2)'!I:J,2,FALSE)</f>
        <v>SERV0011</v>
      </c>
      <c r="N607" t="s">
        <v>927</v>
      </c>
      <c r="P607">
        <f>VLOOKUP(Tabla3[[#This Row],[FECHA]],TASA[],2,FALSE)</f>
        <v>330.38</v>
      </c>
      <c r="Q607" s="35">
        <f t="shared" si="91"/>
        <v>-60</v>
      </c>
      <c r="R607" t="s">
        <v>1268</v>
      </c>
    </row>
    <row r="608" spans="1:18" x14ac:dyDescent="0.25">
      <c r="A608" s="33">
        <v>46035</v>
      </c>
      <c r="B608" s="1">
        <v>220346327</v>
      </c>
      <c r="C608" s="2" t="s">
        <v>1282</v>
      </c>
      <c r="D608" s="34">
        <v>-19822.8</v>
      </c>
      <c r="E608" t="s">
        <v>20</v>
      </c>
      <c r="F608" s="2" t="e">
        <f>VLOOKUP(Tabla3[[#This Row],[CONTABLE]],'SAPROV (2)'!L:M,2,FALSE)</f>
        <v>#N/A</v>
      </c>
      <c r="H608" t="s">
        <v>1281</v>
      </c>
      <c r="I608" s="2" t="str">
        <f>VLOOKUP(Tabla3[[#This Row],[Deposito]],'SAPROV (2)'!D:E,2,FALSE)</f>
        <v>07</v>
      </c>
      <c r="K608" s="2" t="s">
        <v>101</v>
      </c>
      <c r="L608" s="23" t="str">
        <f>VLOOKUP(Tabla3[[#This Row],[PROVEEDOR]],'SAPROV (2)'!A:B,2,FALSE)</f>
        <v>36</v>
      </c>
      <c r="M608" t="str">
        <f>VLOOKUP(Tabla3[[#This Row],[SERVICIO]],'SAPROV (2)'!I:J,2,FALSE)</f>
        <v>SERV0011</v>
      </c>
      <c r="N608" t="s">
        <v>927</v>
      </c>
      <c r="P608">
        <f>VLOOKUP(Tabla3[[#This Row],[FECHA]],TASA[],2,FALSE)</f>
        <v>330.38</v>
      </c>
      <c r="Q608" s="35">
        <f t="shared" si="91"/>
        <v>-60</v>
      </c>
      <c r="R608" t="s">
        <v>1268</v>
      </c>
    </row>
    <row r="609" spans="1:18" x14ac:dyDescent="0.25">
      <c r="A609" s="33">
        <v>46035</v>
      </c>
      <c r="B609" s="1">
        <v>120346326</v>
      </c>
      <c r="C609" s="2" t="s">
        <v>1282</v>
      </c>
      <c r="D609" s="34">
        <v>-19822.8</v>
      </c>
      <c r="E609" t="s">
        <v>20</v>
      </c>
      <c r="F609" s="2" t="e">
        <f>VLOOKUP(Tabla3[[#This Row],[CONTABLE]],'SAPROV (2)'!L:M,2,FALSE)</f>
        <v>#N/A</v>
      </c>
      <c r="H609" t="s">
        <v>1281</v>
      </c>
      <c r="I609" s="2" t="str">
        <f>VLOOKUP(Tabla3[[#This Row],[Deposito]],'SAPROV (2)'!D:E,2,FALSE)</f>
        <v>07</v>
      </c>
      <c r="K609" s="2" t="s">
        <v>101</v>
      </c>
      <c r="L609" s="23" t="str">
        <f>VLOOKUP(Tabla3[[#This Row],[PROVEEDOR]],'SAPROV (2)'!A:B,2,FALSE)</f>
        <v>36</v>
      </c>
      <c r="M609" t="str">
        <f>VLOOKUP(Tabla3[[#This Row],[SERVICIO]],'SAPROV (2)'!I:J,2,FALSE)</f>
        <v>SERV0011</v>
      </c>
      <c r="N609" t="s">
        <v>927</v>
      </c>
      <c r="P609">
        <f>VLOOKUP(Tabla3[[#This Row],[FECHA]],TASA[],2,FALSE)</f>
        <v>330.38</v>
      </c>
      <c r="Q609" s="35">
        <f t="shared" si="91"/>
        <v>-60</v>
      </c>
      <c r="R609" t="s">
        <v>1268</v>
      </c>
    </row>
    <row r="610" spans="1:18" x14ac:dyDescent="0.25">
      <c r="A610" s="33">
        <v>46035</v>
      </c>
      <c r="B610" s="1">
        <v>220346331</v>
      </c>
      <c r="C610" s="2" t="s">
        <v>1282</v>
      </c>
      <c r="D610" s="34">
        <v>-19822.8</v>
      </c>
      <c r="E610" t="s">
        <v>20</v>
      </c>
      <c r="F610" s="2" t="e">
        <f>VLOOKUP(Tabla3[[#This Row],[CONTABLE]],'SAPROV (2)'!L:M,2,FALSE)</f>
        <v>#N/A</v>
      </c>
      <c r="H610" t="s">
        <v>1281</v>
      </c>
      <c r="I610" s="2" t="str">
        <f>VLOOKUP(Tabla3[[#This Row],[Deposito]],'SAPROV (2)'!D:E,2,FALSE)</f>
        <v>07</v>
      </c>
      <c r="K610" s="2" t="s">
        <v>101</v>
      </c>
      <c r="L610" s="2" t="str">
        <f>VLOOKUP(Tabla3[[#This Row],[PROVEEDOR]],'SAPROV (2)'!A:B,2,FALSE)</f>
        <v>36</v>
      </c>
      <c r="M610" t="str">
        <f>VLOOKUP(Tabla3[[#This Row],[SERVICIO]],'SAPROV (2)'!I:J,2,FALSE)</f>
        <v>SERV0011</v>
      </c>
      <c r="N610" t="s">
        <v>927</v>
      </c>
      <c r="P610">
        <f>VLOOKUP(Tabla3[[#This Row],[FECHA]],TASA[],2,FALSE)</f>
        <v>330.38</v>
      </c>
      <c r="Q610" s="35">
        <f t="shared" si="91"/>
        <v>-60</v>
      </c>
      <c r="R610" t="s">
        <v>1268</v>
      </c>
    </row>
    <row r="611" spans="1:18" x14ac:dyDescent="0.25">
      <c r="A611" s="33">
        <v>46035</v>
      </c>
      <c r="B611" s="1">
        <v>220346329</v>
      </c>
      <c r="C611" s="2" t="s">
        <v>1282</v>
      </c>
      <c r="D611" s="34">
        <v>-19822.8</v>
      </c>
      <c r="E611" t="s">
        <v>20</v>
      </c>
      <c r="F611" s="2" t="e">
        <f>VLOOKUP(Tabla3[[#This Row],[CONTABLE]],'SAPROV (2)'!L:M,2,FALSE)</f>
        <v>#N/A</v>
      </c>
      <c r="H611" t="s">
        <v>1281</v>
      </c>
      <c r="I611" s="2" t="str">
        <f>VLOOKUP(Tabla3[[#This Row],[Deposito]],'SAPROV (2)'!D:E,2,FALSE)</f>
        <v>07</v>
      </c>
      <c r="K611" s="2" t="s">
        <v>101</v>
      </c>
      <c r="L611" s="23" t="str">
        <f>VLOOKUP(Tabla3[[#This Row],[PROVEEDOR]],'SAPROV (2)'!A:B,2,FALSE)</f>
        <v>36</v>
      </c>
      <c r="M611" t="str">
        <f>VLOOKUP(Tabla3[[#This Row],[SERVICIO]],'SAPROV (2)'!I:J,2,FALSE)</f>
        <v>SERV0011</v>
      </c>
      <c r="N611" t="s">
        <v>927</v>
      </c>
      <c r="P611">
        <f>VLOOKUP(Tabla3[[#This Row],[FECHA]],TASA[],2,FALSE)</f>
        <v>330.38</v>
      </c>
      <c r="Q611" s="35">
        <f t="shared" si="91"/>
        <v>-60</v>
      </c>
      <c r="R611" t="s">
        <v>1268</v>
      </c>
    </row>
    <row r="612" spans="1:18" x14ac:dyDescent="0.25">
      <c r="A612" s="33">
        <v>46035</v>
      </c>
      <c r="B612" s="1">
        <v>220346330</v>
      </c>
      <c r="C612" s="2" t="s">
        <v>1282</v>
      </c>
      <c r="D612" s="34">
        <v>-19822.8</v>
      </c>
      <c r="E612" t="s">
        <v>20</v>
      </c>
      <c r="F612" s="2" t="e">
        <f>VLOOKUP(Tabla3[[#This Row],[CONTABLE]],'SAPROV (2)'!L:M,2,FALSE)</f>
        <v>#N/A</v>
      </c>
      <c r="H612" t="s">
        <v>1281</v>
      </c>
      <c r="I612" s="2" t="str">
        <f>VLOOKUP(Tabla3[[#This Row],[Deposito]],'SAPROV (2)'!D:E,2,FALSE)</f>
        <v>07</v>
      </c>
      <c r="K612" s="2" t="s">
        <v>101</v>
      </c>
      <c r="L612" s="23" t="str">
        <f>VLOOKUP(Tabla3[[#This Row],[PROVEEDOR]],'SAPROV (2)'!A:B,2,FALSE)</f>
        <v>36</v>
      </c>
      <c r="M612" t="str">
        <f>VLOOKUP(Tabla3[[#This Row],[SERVICIO]],'SAPROV (2)'!I:J,2,FALSE)</f>
        <v>SERV0011</v>
      </c>
      <c r="N612" t="s">
        <v>927</v>
      </c>
      <c r="P612">
        <f>VLOOKUP(Tabla3[[#This Row],[FECHA]],TASA[],2,FALSE)</f>
        <v>330.38</v>
      </c>
      <c r="Q612" s="35">
        <f t="shared" si="91"/>
        <v>-60</v>
      </c>
      <c r="R612" t="s">
        <v>1268</v>
      </c>
    </row>
    <row r="613" spans="1:18" x14ac:dyDescent="0.25">
      <c r="A613" s="33">
        <v>46035</v>
      </c>
      <c r="B613" s="1">
        <v>220346328</v>
      </c>
      <c r="C613" s="2" t="s">
        <v>1282</v>
      </c>
      <c r="D613" s="34">
        <v>-19822.8</v>
      </c>
      <c r="E613" t="s">
        <v>20</v>
      </c>
      <c r="F613" s="2" t="e">
        <f>VLOOKUP(Tabla3[[#This Row],[CONTABLE]],'SAPROV (2)'!L:M,2,FALSE)</f>
        <v>#N/A</v>
      </c>
      <c r="H613" t="s">
        <v>1281</v>
      </c>
      <c r="I613" s="2" t="str">
        <f>VLOOKUP(Tabla3[[#This Row],[Deposito]],'SAPROV (2)'!D:E,2,FALSE)</f>
        <v>07</v>
      </c>
      <c r="K613" s="2" t="s">
        <v>101</v>
      </c>
      <c r="L613" s="2" t="str">
        <f>VLOOKUP(Tabla3[[#This Row],[PROVEEDOR]],'SAPROV (2)'!A:B,2,FALSE)</f>
        <v>36</v>
      </c>
      <c r="M613" t="str">
        <f>VLOOKUP(Tabla3[[#This Row],[SERVICIO]],'SAPROV (2)'!I:J,2,FALSE)</f>
        <v>SERV0011</v>
      </c>
      <c r="N613" t="s">
        <v>927</v>
      </c>
      <c r="P613">
        <f>VLOOKUP(Tabla3[[#This Row],[FECHA]],TASA[],2,FALSE)</f>
        <v>330.38</v>
      </c>
      <c r="Q613" s="35">
        <f t="shared" si="91"/>
        <v>-60</v>
      </c>
      <c r="R613" t="s">
        <v>1268</v>
      </c>
    </row>
    <row r="614" spans="1:18" x14ac:dyDescent="0.25">
      <c r="A614" s="33">
        <v>46035</v>
      </c>
      <c r="B614" s="1">
        <v>220346332</v>
      </c>
      <c r="C614" s="2" t="s">
        <v>1282</v>
      </c>
      <c r="D614" s="34">
        <v>-19822.8</v>
      </c>
      <c r="E614" t="s">
        <v>20</v>
      </c>
      <c r="F614" s="2" t="e">
        <f>VLOOKUP(Tabla3[[#This Row],[CONTABLE]],'SAPROV (2)'!L:M,2,FALSE)</f>
        <v>#N/A</v>
      </c>
      <c r="H614" t="s">
        <v>1281</v>
      </c>
      <c r="I614" s="2" t="str">
        <f>VLOOKUP(Tabla3[[#This Row],[Deposito]],'SAPROV (2)'!D:E,2,FALSE)</f>
        <v>07</v>
      </c>
      <c r="K614" s="2" t="s">
        <v>101</v>
      </c>
      <c r="L614" s="23" t="str">
        <f>VLOOKUP(Tabla3[[#This Row],[PROVEEDOR]],'SAPROV (2)'!A:B,2,FALSE)</f>
        <v>36</v>
      </c>
      <c r="M614" t="str">
        <f>VLOOKUP(Tabla3[[#This Row],[SERVICIO]],'SAPROV (2)'!I:J,2,FALSE)</f>
        <v>SERV0011</v>
      </c>
      <c r="N614" t="s">
        <v>927</v>
      </c>
      <c r="P614">
        <f>VLOOKUP(Tabla3[[#This Row],[FECHA]],TASA[],2,FALSE)</f>
        <v>330.38</v>
      </c>
      <c r="Q614" s="35">
        <f t="shared" si="91"/>
        <v>-60</v>
      </c>
      <c r="R614" t="s">
        <v>1268</v>
      </c>
    </row>
    <row r="615" spans="1:18" x14ac:dyDescent="0.25">
      <c r="A615" s="33">
        <v>46035</v>
      </c>
      <c r="B615" s="1">
        <v>220346333</v>
      </c>
      <c r="C615" s="2" t="s">
        <v>1282</v>
      </c>
      <c r="D615" s="34">
        <v>-19822.8</v>
      </c>
      <c r="E615" t="s">
        <v>20</v>
      </c>
      <c r="F615" s="2" t="e">
        <f>VLOOKUP(Tabla3[[#This Row],[CONTABLE]],'SAPROV (2)'!L:M,2,FALSE)</f>
        <v>#N/A</v>
      </c>
      <c r="H615" t="s">
        <v>1281</v>
      </c>
      <c r="I615" s="2" t="str">
        <f>VLOOKUP(Tabla3[[#This Row],[Deposito]],'SAPROV (2)'!D:E,2,FALSE)</f>
        <v>07</v>
      </c>
      <c r="K615" s="2" t="s">
        <v>101</v>
      </c>
      <c r="L615" s="23" t="str">
        <f>VLOOKUP(Tabla3[[#This Row],[PROVEEDOR]],'SAPROV (2)'!A:B,2,FALSE)</f>
        <v>36</v>
      </c>
      <c r="M615" t="str">
        <f>VLOOKUP(Tabla3[[#This Row],[SERVICIO]],'SAPROV (2)'!I:J,2,FALSE)</f>
        <v>SERV0011</v>
      </c>
      <c r="N615" t="s">
        <v>927</v>
      </c>
      <c r="P615">
        <f>VLOOKUP(Tabla3[[#This Row],[FECHA]],TASA[],2,FALSE)</f>
        <v>330.38</v>
      </c>
      <c r="Q615" s="35">
        <f t="shared" si="91"/>
        <v>-60</v>
      </c>
      <c r="R615" t="s">
        <v>1268</v>
      </c>
    </row>
    <row r="616" spans="1:18" x14ac:dyDescent="0.25">
      <c r="A616" s="33">
        <v>46035</v>
      </c>
      <c r="B616" s="1">
        <v>220346334</v>
      </c>
      <c r="C616" s="2" t="s">
        <v>1282</v>
      </c>
      <c r="D616" s="34">
        <v>-19822.8</v>
      </c>
      <c r="E616" t="s">
        <v>20</v>
      </c>
      <c r="F616" s="2" t="e">
        <f>VLOOKUP(Tabla3[[#This Row],[CONTABLE]],'SAPROV (2)'!L:M,2,FALSE)</f>
        <v>#N/A</v>
      </c>
      <c r="H616" t="s">
        <v>1281</v>
      </c>
      <c r="I616" s="2" t="str">
        <f>VLOOKUP(Tabla3[[#This Row],[Deposito]],'SAPROV (2)'!D:E,2,FALSE)</f>
        <v>07</v>
      </c>
      <c r="K616" s="2" t="s">
        <v>101</v>
      </c>
      <c r="L616" s="2" t="str">
        <f>VLOOKUP(Tabla3[[#This Row],[PROVEEDOR]],'SAPROV (2)'!A:B,2,FALSE)</f>
        <v>36</v>
      </c>
      <c r="M616" t="str">
        <f>VLOOKUP(Tabla3[[#This Row],[SERVICIO]],'SAPROV (2)'!I:J,2,FALSE)</f>
        <v>SERV0011</v>
      </c>
      <c r="N616" t="s">
        <v>927</v>
      </c>
      <c r="P616">
        <f>VLOOKUP(Tabla3[[#This Row],[FECHA]],TASA[],2,FALSE)</f>
        <v>330.38</v>
      </c>
      <c r="Q616" s="35">
        <f t="shared" si="91"/>
        <v>-60</v>
      </c>
      <c r="R616" t="s">
        <v>1268</v>
      </c>
    </row>
    <row r="617" spans="1:18" x14ac:dyDescent="0.25">
      <c r="A617" s="33">
        <v>46035</v>
      </c>
      <c r="B617" s="1">
        <v>220346335</v>
      </c>
      <c r="C617" s="2" t="s">
        <v>1282</v>
      </c>
      <c r="D617" s="34">
        <v>-19822.8</v>
      </c>
      <c r="E617" t="s">
        <v>20</v>
      </c>
      <c r="F617" s="2" t="e">
        <f>VLOOKUP(Tabla3[[#This Row],[CONTABLE]],'SAPROV (2)'!L:M,2,FALSE)</f>
        <v>#N/A</v>
      </c>
      <c r="H617" t="s">
        <v>1281</v>
      </c>
      <c r="I617" s="2" t="str">
        <f>VLOOKUP(Tabla3[[#This Row],[Deposito]],'SAPROV (2)'!D:E,2,FALSE)</f>
        <v>07</v>
      </c>
      <c r="K617" s="2" t="s">
        <v>101</v>
      </c>
      <c r="L617" s="23" t="str">
        <f>VLOOKUP(Tabla3[[#This Row],[PROVEEDOR]],'SAPROV (2)'!A:B,2,FALSE)</f>
        <v>36</v>
      </c>
      <c r="M617" t="str">
        <f>VLOOKUP(Tabla3[[#This Row],[SERVICIO]],'SAPROV (2)'!I:J,2,FALSE)</f>
        <v>SERV0011</v>
      </c>
      <c r="N617" t="s">
        <v>927</v>
      </c>
      <c r="P617">
        <f>VLOOKUP(Tabla3[[#This Row],[FECHA]],TASA[],2,FALSE)</f>
        <v>330.38</v>
      </c>
      <c r="Q617" s="35">
        <f t="shared" si="91"/>
        <v>-60</v>
      </c>
      <c r="R617" t="s">
        <v>1268</v>
      </c>
    </row>
    <row r="618" spans="1:18" x14ac:dyDescent="0.25">
      <c r="A618" s="33">
        <v>46035</v>
      </c>
      <c r="B618" s="1">
        <v>320346336</v>
      </c>
      <c r="C618" s="2" t="s">
        <v>1282</v>
      </c>
      <c r="D618" s="34">
        <v>-19822.8</v>
      </c>
      <c r="E618" t="s">
        <v>20</v>
      </c>
      <c r="F618" s="2" t="e">
        <f>VLOOKUP(Tabla3[[#This Row],[CONTABLE]],'SAPROV (2)'!L:M,2,FALSE)</f>
        <v>#N/A</v>
      </c>
      <c r="H618" t="s">
        <v>1281</v>
      </c>
      <c r="I618" s="2" t="str">
        <f>VLOOKUP(Tabla3[[#This Row],[Deposito]],'SAPROV (2)'!D:E,2,FALSE)</f>
        <v>07</v>
      </c>
      <c r="K618" s="2" t="s">
        <v>101</v>
      </c>
      <c r="L618" s="23" t="str">
        <f>VLOOKUP(Tabla3[[#This Row],[PROVEEDOR]],'SAPROV (2)'!A:B,2,FALSE)</f>
        <v>36</v>
      </c>
      <c r="M618" t="str">
        <f>VLOOKUP(Tabla3[[#This Row],[SERVICIO]],'SAPROV (2)'!I:J,2,FALSE)</f>
        <v>SERV0011</v>
      </c>
      <c r="N618" t="s">
        <v>927</v>
      </c>
      <c r="P618">
        <f>VLOOKUP(Tabla3[[#This Row],[FECHA]],TASA[],2,FALSE)</f>
        <v>330.38</v>
      </c>
      <c r="Q618" s="35">
        <f t="shared" si="91"/>
        <v>-60</v>
      </c>
      <c r="R618" t="s">
        <v>1268</v>
      </c>
    </row>
    <row r="619" spans="1:18" x14ac:dyDescent="0.25">
      <c r="A619" s="33">
        <v>46035</v>
      </c>
      <c r="B619" s="1">
        <v>320346337</v>
      </c>
      <c r="C619" s="2" t="s">
        <v>1283</v>
      </c>
      <c r="D619" s="34">
        <v>-19822.8</v>
      </c>
      <c r="E619" t="s">
        <v>20</v>
      </c>
      <c r="F619" s="2" t="e">
        <f>VLOOKUP(Tabla3[[#This Row],[CONTABLE]],'SAPROV (2)'!L:M,2,FALSE)</f>
        <v>#N/A</v>
      </c>
      <c r="H619" t="s">
        <v>1274</v>
      </c>
      <c r="I619" s="2" t="str">
        <f>VLOOKUP(Tabla3[[#This Row],[Deposito]],'SAPROV (2)'!D:E,2,FALSE)</f>
        <v>02</v>
      </c>
      <c r="K619" s="2" t="s">
        <v>101</v>
      </c>
      <c r="L619" s="2" t="str">
        <f>VLOOKUP(Tabla3[[#This Row],[PROVEEDOR]],'SAPROV (2)'!A:B,2,FALSE)</f>
        <v>36</v>
      </c>
      <c r="M619" t="str">
        <f>VLOOKUP(Tabla3[[#This Row],[SERVICIO]],'SAPROV (2)'!I:J,2,FALSE)</f>
        <v>SERV0011</v>
      </c>
      <c r="N619" t="s">
        <v>927</v>
      </c>
      <c r="P619">
        <f>VLOOKUP(Tabla3[[#This Row],[FECHA]],TASA[],2,FALSE)</f>
        <v>330.38</v>
      </c>
      <c r="Q619" s="35">
        <f t="shared" si="91"/>
        <v>-60</v>
      </c>
      <c r="R619" t="s">
        <v>1268</v>
      </c>
    </row>
    <row r="620" spans="1:18" x14ac:dyDescent="0.25">
      <c r="A620" s="33">
        <v>46035</v>
      </c>
      <c r="B620" s="1">
        <v>320346338</v>
      </c>
      <c r="C620" s="2" t="s">
        <v>1283</v>
      </c>
      <c r="D620" s="34">
        <v>-19822.8</v>
      </c>
      <c r="E620" t="s">
        <v>20</v>
      </c>
      <c r="F620" s="2" t="e">
        <f>VLOOKUP(Tabla3[[#This Row],[CONTABLE]],'SAPROV (2)'!L:M,2,FALSE)</f>
        <v>#N/A</v>
      </c>
      <c r="H620" t="s">
        <v>1274</v>
      </c>
      <c r="I620" s="2" t="str">
        <f>VLOOKUP(Tabla3[[#This Row],[Deposito]],'SAPROV (2)'!D:E,2,FALSE)</f>
        <v>02</v>
      </c>
      <c r="K620" s="2" t="s">
        <v>101</v>
      </c>
      <c r="L620" s="23" t="str">
        <f>VLOOKUP(Tabla3[[#This Row],[PROVEEDOR]],'SAPROV (2)'!A:B,2,FALSE)</f>
        <v>36</v>
      </c>
      <c r="M620" t="str">
        <f>VLOOKUP(Tabla3[[#This Row],[SERVICIO]],'SAPROV (2)'!I:J,2,FALSE)</f>
        <v>SERV0011</v>
      </c>
      <c r="N620" t="s">
        <v>927</v>
      </c>
      <c r="P620">
        <f>VLOOKUP(Tabla3[[#This Row],[FECHA]],TASA[],2,FALSE)</f>
        <v>330.38</v>
      </c>
      <c r="Q620" s="35">
        <f t="shared" si="91"/>
        <v>-60</v>
      </c>
      <c r="R620" t="s">
        <v>1268</v>
      </c>
    </row>
    <row r="621" spans="1:18" x14ac:dyDescent="0.25">
      <c r="A621" s="33">
        <v>46035</v>
      </c>
      <c r="B621" s="1">
        <v>320346340</v>
      </c>
      <c r="C621" s="2" t="s">
        <v>1283</v>
      </c>
      <c r="D621" s="34">
        <v>-19822.8</v>
      </c>
      <c r="E621" t="s">
        <v>20</v>
      </c>
      <c r="F621" s="2" t="e">
        <f>VLOOKUP(Tabla3[[#This Row],[CONTABLE]],'SAPROV (2)'!L:M,2,FALSE)</f>
        <v>#N/A</v>
      </c>
      <c r="H621" t="s">
        <v>1274</v>
      </c>
      <c r="I621" s="2" t="str">
        <f>VLOOKUP(Tabla3[[#This Row],[Deposito]],'SAPROV (2)'!D:E,2,FALSE)</f>
        <v>02</v>
      </c>
      <c r="K621" s="2" t="s">
        <v>101</v>
      </c>
      <c r="L621" s="23" t="str">
        <f>VLOOKUP(Tabla3[[#This Row],[PROVEEDOR]],'SAPROV (2)'!A:B,2,FALSE)</f>
        <v>36</v>
      </c>
      <c r="M621" t="str">
        <f>VLOOKUP(Tabla3[[#This Row],[SERVICIO]],'SAPROV (2)'!I:J,2,FALSE)</f>
        <v>SERV0011</v>
      </c>
      <c r="N621" t="s">
        <v>927</v>
      </c>
      <c r="P621">
        <f>VLOOKUP(Tabla3[[#This Row],[FECHA]],TASA[],2,FALSE)</f>
        <v>330.38</v>
      </c>
      <c r="Q621" s="35">
        <f t="shared" si="91"/>
        <v>-60</v>
      </c>
      <c r="R621" t="s">
        <v>1268</v>
      </c>
    </row>
    <row r="622" spans="1:18" x14ac:dyDescent="0.25">
      <c r="A622" s="33">
        <v>46035</v>
      </c>
      <c r="B622" s="1">
        <v>320346339</v>
      </c>
      <c r="C622" s="2" t="s">
        <v>1283</v>
      </c>
      <c r="D622" s="34">
        <v>-19822.8</v>
      </c>
      <c r="E622" t="s">
        <v>20</v>
      </c>
      <c r="F622" s="2" t="e">
        <f>VLOOKUP(Tabla3[[#This Row],[CONTABLE]],'SAPROV (2)'!L:M,2,FALSE)</f>
        <v>#N/A</v>
      </c>
      <c r="H622" t="s">
        <v>1274</v>
      </c>
      <c r="I622" s="2" t="str">
        <f>VLOOKUP(Tabla3[[#This Row],[Deposito]],'SAPROV (2)'!D:E,2,FALSE)</f>
        <v>02</v>
      </c>
      <c r="K622" s="2" t="s">
        <v>101</v>
      </c>
      <c r="L622" s="2" t="str">
        <f>VLOOKUP(Tabla3[[#This Row],[PROVEEDOR]],'SAPROV (2)'!A:B,2,FALSE)</f>
        <v>36</v>
      </c>
      <c r="M622" t="str">
        <f>VLOOKUP(Tabla3[[#This Row],[SERVICIO]],'SAPROV (2)'!I:J,2,FALSE)</f>
        <v>SERV0011</v>
      </c>
      <c r="N622" t="s">
        <v>927</v>
      </c>
      <c r="P622">
        <f>VLOOKUP(Tabla3[[#This Row],[FECHA]],TASA[],2,FALSE)</f>
        <v>330.38</v>
      </c>
      <c r="Q622" s="35">
        <f t="shared" si="91"/>
        <v>-60</v>
      </c>
      <c r="R622" t="s">
        <v>1268</v>
      </c>
    </row>
    <row r="623" spans="1:18" x14ac:dyDescent="0.25">
      <c r="A623" s="33">
        <v>46035</v>
      </c>
      <c r="B623" s="1">
        <v>320346342</v>
      </c>
      <c r="C623" s="2" t="s">
        <v>1283</v>
      </c>
      <c r="D623" s="34">
        <v>-19822.8</v>
      </c>
      <c r="E623" t="s">
        <v>20</v>
      </c>
      <c r="F623" s="2" t="e">
        <f>VLOOKUP(Tabla3[[#This Row],[CONTABLE]],'SAPROV (2)'!L:M,2,FALSE)</f>
        <v>#N/A</v>
      </c>
      <c r="H623" t="s">
        <v>1274</v>
      </c>
      <c r="I623" s="2" t="str">
        <f>VLOOKUP(Tabla3[[#This Row],[Deposito]],'SAPROV (2)'!D:E,2,FALSE)</f>
        <v>02</v>
      </c>
      <c r="K623" s="2" t="s">
        <v>101</v>
      </c>
      <c r="L623" s="23" t="str">
        <f>VLOOKUP(Tabla3[[#This Row],[PROVEEDOR]],'SAPROV (2)'!A:B,2,FALSE)</f>
        <v>36</v>
      </c>
      <c r="M623" t="str">
        <f>VLOOKUP(Tabla3[[#This Row],[SERVICIO]],'SAPROV (2)'!I:J,2,FALSE)</f>
        <v>SERV0011</v>
      </c>
      <c r="N623" t="s">
        <v>927</v>
      </c>
      <c r="P623">
        <f>VLOOKUP(Tabla3[[#This Row],[FECHA]],TASA[],2,FALSE)</f>
        <v>330.38</v>
      </c>
      <c r="Q623" s="35">
        <f t="shared" si="91"/>
        <v>-60</v>
      </c>
      <c r="R623" t="s">
        <v>1268</v>
      </c>
    </row>
    <row r="624" spans="1:18" x14ac:dyDescent="0.25">
      <c r="A624" s="33">
        <v>46035</v>
      </c>
      <c r="B624" s="1">
        <v>320346341</v>
      </c>
      <c r="C624" s="2" t="s">
        <v>1283</v>
      </c>
      <c r="D624" s="34">
        <v>-19822.8</v>
      </c>
      <c r="E624" t="s">
        <v>20</v>
      </c>
      <c r="F624" s="2" t="e">
        <f>VLOOKUP(Tabla3[[#This Row],[CONTABLE]],'SAPROV (2)'!L:M,2,FALSE)</f>
        <v>#N/A</v>
      </c>
      <c r="H624" t="s">
        <v>1274</v>
      </c>
      <c r="I624" s="2" t="str">
        <f>VLOOKUP(Tabla3[[#This Row],[Deposito]],'SAPROV (2)'!D:E,2,FALSE)</f>
        <v>02</v>
      </c>
      <c r="K624" s="2" t="s">
        <v>101</v>
      </c>
      <c r="L624" s="23" t="str">
        <f>VLOOKUP(Tabla3[[#This Row],[PROVEEDOR]],'SAPROV (2)'!A:B,2,FALSE)</f>
        <v>36</v>
      </c>
      <c r="M624" t="str">
        <f>VLOOKUP(Tabla3[[#This Row],[SERVICIO]],'SAPROV (2)'!I:J,2,FALSE)</f>
        <v>SERV0011</v>
      </c>
      <c r="N624" t="s">
        <v>927</v>
      </c>
      <c r="P624">
        <f>VLOOKUP(Tabla3[[#This Row],[FECHA]],TASA[],2,FALSE)</f>
        <v>330.38</v>
      </c>
      <c r="Q624" s="35">
        <f t="shared" ref="Q624:Q655" si="92">D624/P624</f>
        <v>-60</v>
      </c>
      <c r="R624" t="s">
        <v>1268</v>
      </c>
    </row>
    <row r="625" spans="1:18" x14ac:dyDescent="0.25">
      <c r="A625" s="33">
        <v>46035</v>
      </c>
      <c r="B625" s="1">
        <v>420346345</v>
      </c>
      <c r="C625" s="2" t="s">
        <v>1283</v>
      </c>
      <c r="D625" s="34">
        <v>-19822.8</v>
      </c>
      <c r="E625" t="s">
        <v>20</v>
      </c>
      <c r="F625" s="2" t="e">
        <f>VLOOKUP(Tabla3[[#This Row],[CONTABLE]],'SAPROV (2)'!L:M,2,FALSE)</f>
        <v>#N/A</v>
      </c>
      <c r="H625" t="s">
        <v>1274</v>
      </c>
      <c r="I625" s="2" t="str">
        <f>VLOOKUP(Tabla3[[#This Row],[Deposito]],'SAPROV (2)'!D:E,2,FALSE)</f>
        <v>02</v>
      </c>
      <c r="K625" s="2" t="s">
        <v>101</v>
      </c>
      <c r="L625" s="2" t="str">
        <f>VLOOKUP(Tabla3[[#This Row],[PROVEEDOR]],'SAPROV (2)'!A:B,2,FALSE)</f>
        <v>36</v>
      </c>
      <c r="M625" t="str">
        <f>VLOOKUP(Tabla3[[#This Row],[SERVICIO]],'SAPROV (2)'!I:J,2,FALSE)</f>
        <v>SERV0011</v>
      </c>
      <c r="N625" t="s">
        <v>927</v>
      </c>
      <c r="P625">
        <f>VLOOKUP(Tabla3[[#This Row],[FECHA]],TASA[],2,FALSE)</f>
        <v>330.38</v>
      </c>
      <c r="Q625" s="35">
        <f t="shared" si="92"/>
        <v>-60</v>
      </c>
      <c r="R625" t="s">
        <v>1268</v>
      </c>
    </row>
    <row r="626" spans="1:18" x14ac:dyDescent="0.25">
      <c r="A626" s="33">
        <v>46035</v>
      </c>
      <c r="B626" s="1">
        <v>320346344</v>
      </c>
      <c r="C626" s="2" t="s">
        <v>1284</v>
      </c>
      <c r="D626" s="34">
        <v>-19822.8</v>
      </c>
      <c r="E626" t="s">
        <v>20</v>
      </c>
      <c r="F626" s="2" t="e">
        <f>VLOOKUP(Tabla3[[#This Row],[CONTABLE]],'SAPROV (2)'!L:M,2,FALSE)</f>
        <v>#N/A</v>
      </c>
      <c r="H626" t="s">
        <v>1280</v>
      </c>
      <c r="I626" s="2" t="str">
        <f>VLOOKUP(Tabla3[[#This Row],[Deposito]],'SAPROV (2)'!D:E,2,FALSE)</f>
        <v>01</v>
      </c>
      <c r="K626" s="2" t="s">
        <v>101</v>
      </c>
      <c r="L626" s="23" t="str">
        <f>VLOOKUP(Tabla3[[#This Row],[PROVEEDOR]],'SAPROV (2)'!A:B,2,FALSE)</f>
        <v>36</v>
      </c>
      <c r="M626" t="str">
        <f>VLOOKUP(Tabla3[[#This Row],[SERVICIO]],'SAPROV (2)'!I:J,2,FALSE)</f>
        <v>SERV0011</v>
      </c>
      <c r="N626" t="s">
        <v>927</v>
      </c>
      <c r="P626">
        <f>VLOOKUP(Tabla3[[#This Row],[FECHA]],TASA[],2,FALSE)</f>
        <v>330.38</v>
      </c>
      <c r="Q626" s="35">
        <f t="shared" si="92"/>
        <v>-60</v>
      </c>
      <c r="R626" t="s">
        <v>1268</v>
      </c>
    </row>
    <row r="627" spans="1:18" x14ac:dyDescent="0.25">
      <c r="A627" s="33">
        <v>46035</v>
      </c>
      <c r="B627" s="1">
        <v>420346346</v>
      </c>
      <c r="C627" s="2" t="s">
        <v>1284</v>
      </c>
      <c r="D627" s="34">
        <v>-19822.8</v>
      </c>
      <c r="E627" t="s">
        <v>20</v>
      </c>
      <c r="F627" s="2" t="e">
        <f>VLOOKUP(Tabla3[[#This Row],[CONTABLE]],'SAPROV (2)'!L:M,2,FALSE)</f>
        <v>#N/A</v>
      </c>
      <c r="H627" t="s">
        <v>1280</v>
      </c>
      <c r="I627" s="2" t="str">
        <f>VLOOKUP(Tabla3[[#This Row],[Deposito]],'SAPROV (2)'!D:E,2,FALSE)</f>
        <v>01</v>
      </c>
      <c r="K627" s="2" t="s">
        <v>101</v>
      </c>
      <c r="L627" s="23" t="str">
        <f>VLOOKUP(Tabla3[[#This Row],[PROVEEDOR]],'SAPROV (2)'!A:B,2,FALSE)</f>
        <v>36</v>
      </c>
      <c r="M627" t="str">
        <f>VLOOKUP(Tabla3[[#This Row],[SERVICIO]],'SAPROV (2)'!I:J,2,FALSE)</f>
        <v>SERV0011</v>
      </c>
      <c r="N627" t="s">
        <v>927</v>
      </c>
      <c r="P627">
        <f>VLOOKUP(Tabla3[[#This Row],[FECHA]],TASA[],2,FALSE)</f>
        <v>330.38</v>
      </c>
      <c r="Q627" s="35">
        <f t="shared" si="92"/>
        <v>-60</v>
      </c>
      <c r="R627" t="s">
        <v>1268</v>
      </c>
    </row>
    <row r="628" spans="1:18" x14ac:dyDescent="0.25">
      <c r="A628" s="33">
        <v>46035</v>
      </c>
      <c r="B628" s="1">
        <v>320346343</v>
      </c>
      <c r="C628" s="2" t="s">
        <v>1284</v>
      </c>
      <c r="D628" s="34">
        <v>-19822.8</v>
      </c>
      <c r="E628" t="s">
        <v>20</v>
      </c>
      <c r="F628" s="2" t="e">
        <f>VLOOKUP(Tabla3[[#This Row],[CONTABLE]],'SAPROV (2)'!L:M,2,FALSE)</f>
        <v>#N/A</v>
      </c>
      <c r="H628" t="s">
        <v>1280</v>
      </c>
      <c r="I628" s="2" t="str">
        <f>VLOOKUP(Tabla3[[#This Row],[Deposito]],'SAPROV (2)'!D:E,2,FALSE)</f>
        <v>01</v>
      </c>
      <c r="K628" s="2" t="s">
        <v>101</v>
      </c>
      <c r="L628" s="2" t="str">
        <f>VLOOKUP(Tabla3[[#This Row],[PROVEEDOR]],'SAPROV (2)'!A:B,2,FALSE)</f>
        <v>36</v>
      </c>
      <c r="M628" t="str">
        <f>VLOOKUP(Tabla3[[#This Row],[SERVICIO]],'SAPROV (2)'!I:J,2,FALSE)</f>
        <v>SERV0011</v>
      </c>
      <c r="N628" t="s">
        <v>927</v>
      </c>
      <c r="P628">
        <f>VLOOKUP(Tabla3[[#This Row],[FECHA]],TASA[],2,FALSE)</f>
        <v>330.38</v>
      </c>
      <c r="Q628" s="35">
        <f t="shared" si="92"/>
        <v>-60</v>
      </c>
      <c r="R628" t="s">
        <v>1268</v>
      </c>
    </row>
    <row r="629" spans="1:18" x14ac:dyDescent="0.25">
      <c r="A629" s="33">
        <v>46035</v>
      </c>
      <c r="B629" s="1">
        <v>420346347</v>
      </c>
      <c r="C629" s="2" t="s">
        <v>1284</v>
      </c>
      <c r="D629" s="34">
        <v>-19822.8</v>
      </c>
      <c r="E629" t="s">
        <v>20</v>
      </c>
      <c r="F629" s="2" t="e">
        <f>VLOOKUP(Tabla3[[#This Row],[CONTABLE]],'SAPROV (2)'!L:M,2,FALSE)</f>
        <v>#N/A</v>
      </c>
      <c r="H629" t="s">
        <v>1280</v>
      </c>
      <c r="I629" s="2" t="str">
        <f>VLOOKUP(Tabla3[[#This Row],[Deposito]],'SAPROV (2)'!D:E,2,FALSE)</f>
        <v>01</v>
      </c>
      <c r="K629" s="2" t="s">
        <v>101</v>
      </c>
      <c r="L629" s="23" t="str">
        <f>VLOOKUP(Tabla3[[#This Row],[PROVEEDOR]],'SAPROV (2)'!A:B,2,FALSE)</f>
        <v>36</v>
      </c>
      <c r="M629" t="str">
        <f>VLOOKUP(Tabla3[[#This Row],[SERVICIO]],'SAPROV (2)'!I:J,2,FALSE)</f>
        <v>SERV0011</v>
      </c>
      <c r="N629" t="s">
        <v>927</v>
      </c>
      <c r="P629">
        <f>VLOOKUP(Tabla3[[#This Row],[FECHA]],TASA[],2,FALSE)</f>
        <v>330.38</v>
      </c>
      <c r="Q629" s="35">
        <f t="shared" si="92"/>
        <v>-60</v>
      </c>
      <c r="R629" t="s">
        <v>1268</v>
      </c>
    </row>
    <row r="630" spans="1:18" x14ac:dyDescent="0.25">
      <c r="A630" s="33">
        <v>46035</v>
      </c>
      <c r="B630" s="1">
        <v>420346349</v>
      </c>
      <c r="C630" s="2" t="s">
        <v>1284</v>
      </c>
      <c r="D630" s="34">
        <v>-1321.52</v>
      </c>
      <c r="E630" t="s">
        <v>20</v>
      </c>
      <c r="F630" s="2" t="e">
        <f>VLOOKUP(Tabla3[[#This Row],[CONTABLE]],'SAPROV (2)'!L:M,2,FALSE)</f>
        <v>#N/A</v>
      </c>
      <c r="H630" t="s">
        <v>1280</v>
      </c>
      <c r="I630" s="2" t="str">
        <f>VLOOKUP(Tabla3[[#This Row],[Deposito]],'SAPROV (2)'!D:E,2,FALSE)</f>
        <v>01</v>
      </c>
      <c r="K630" s="2" t="s">
        <v>101</v>
      </c>
      <c r="L630" s="23" t="str">
        <f>VLOOKUP(Tabla3[[#This Row],[PROVEEDOR]],'SAPROV (2)'!A:B,2,FALSE)</f>
        <v>36</v>
      </c>
      <c r="M630" t="str">
        <f>VLOOKUP(Tabla3[[#This Row],[SERVICIO]],'SAPROV (2)'!I:J,2,FALSE)</f>
        <v>SERV0011</v>
      </c>
      <c r="N630" t="s">
        <v>927</v>
      </c>
      <c r="P630">
        <f>VLOOKUP(Tabla3[[#This Row],[FECHA]],TASA[],2,FALSE)</f>
        <v>330.38</v>
      </c>
      <c r="Q630" s="35">
        <f t="shared" si="92"/>
        <v>-4</v>
      </c>
      <c r="R630" t="s">
        <v>1268</v>
      </c>
    </row>
    <row r="631" spans="1:18" x14ac:dyDescent="0.25">
      <c r="A631" s="33">
        <v>46035</v>
      </c>
      <c r="B631" s="1">
        <v>420346350</v>
      </c>
      <c r="C631" s="2" t="s">
        <v>1284</v>
      </c>
      <c r="D631" s="34">
        <v>-19822.8</v>
      </c>
      <c r="E631" t="s">
        <v>20</v>
      </c>
      <c r="F631" s="2" t="e">
        <f>VLOOKUP(Tabla3[[#This Row],[CONTABLE]],'SAPROV (2)'!L:M,2,FALSE)</f>
        <v>#N/A</v>
      </c>
      <c r="H631" t="s">
        <v>1280</v>
      </c>
      <c r="I631" s="2" t="str">
        <f>VLOOKUP(Tabla3[[#This Row],[Deposito]],'SAPROV (2)'!D:E,2,FALSE)</f>
        <v>01</v>
      </c>
      <c r="K631" s="2" t="s">
        <v>101</v>
      </c>
      <c r="L631" s="2" t="str">
        <f>VLOOKUP(Tabla3[[#This Row],[PROVEEDOR]],'SAPROV (2)'!A:B,2,FALSE)</f>
        <v>36</v>
      </c>
      <c r="M631" t="str">
        <f>VLOOKUP(Tabla3[[#This Row],[SERVICIO]],'SAPROV (2)'!I:J,2,FALSE)</f>
        <v>SERV0011</v>
      </c>
      <c r="N631" t="s">
        <v>927</v>
      </c>
      <c r="P631">
        <f>VLOOKUP(Tabla3[[#This Row],[FECHA]],TASA[],2,FALSE)</f>
        <v>330.38</v>
      </c>
      <c r="Q631" s="35">
        <f t="shared" si="92"/>
        <v>-60</v>
      </c>
      <c r="R631" t="s">
        <v>1268</v>
      </c>
    </row>
    <row r="632" spans="1:18" x14ac:dyDescent="0.25">
      <c r="A632" s="33">
        <v>46035</v>
      </c>
      <c r="B632" s="1">
        <v>420346348</v>
      </c>
      <c r="C632" s="2" t="s">
        <v>1284</v>
      </c>
      <c r="D632" s="34">
        <v>-19822.8</v>
      </c>
      <c r="E632" t="s">
        <v>20</v>
      </c>
      <c r="F632" s="2" t="e">
        <f>VLOOKUP(Tabla3[[#This Row],[CONTABLE]],'SAPROV (2)'!L:M,2,FALSE)</f>
        <v>#N/A</v>
      </c>
      <c r="H632" t="s">
        <v>1280</v>
      </c>
      <c r="I632" s="2" t="str">
        <f>VLOOKUP(Tabla3[[#This Row],[Deposito]],'SAPROV (2)'!D:E,2,FALSE)</f>
        <v>01</v>
      </c>
      <c r="K632" s="2" t="s">
        <v>101</v>
      </c>
      <c r="L632" s="23" t="str">
        <f>VLOOKUP(Tabla3[[#This Row],[PROVEEDOR]],'SAPROV (2)'!A:B,2,FALSE)</f>
        <v>36</v>
      </c>
      <c r="M632" t="str">
        <f>VLOOKUP(Tabla3[[#This Row],[SERVICIO]],'SAPROV (2)'!I:J,2,FALSE)</f>
        <v>SERV0011</v>
      </c>
      <c r="N632" t="s">
        <v>927</v>
      </c>
      <c r="P632">
        <f>VLOOKUP(Tabla3[[#This Row],[FECHA]],TASA[],2,FALSE)</f>
        <v>330.38</v>
      </c>
      <c r="Q632" s="35">
        <f t="shared" si="92"/>
        <v>-60</v>
      </c>
      <c r="R632" t="s">
        <v>1268</v>
      </c>
    </row>
    <row r="633" spans="1:18" x14ac:dyDescent="0.25">
      <c r="A633" s="33">
        <v>46035</v>
      </c>
      <c r="B633" s="1">
        <v>420346351</v>
      </c>
      <c r="C633" s="2" t="s">
        <v>1284</v>
      </c>
      <c r="D633" s="34">
        <v>-19822.8</v>
      </c>
      <c r="E633" t="s">
        <v>20</v>
      </c>
      <c r="F633" s="2" t="e">
        <f>VLOOKUP(Tabla3[[#This Row],[CONTABLE]],'SAPROV (2)'!L:M,2,FALSE)</f>
        <v>#N/A</v>
      </c>
      <c r="H633" t="s">
        <v>1280</v>
      </c>
      <c r="I633" s="2" t="str">
        <f>VLOOKUP(Tabla3[[#This Row],[Deposito]],'SAPROV (2)'!D:E,2,FALSE)</f>
        <v>01</v>
      </c>
      <c r="K633" s="2" t="s">
        <v>101</v>
      </c>
      <c r="L633" s="23" t="str">
        <f>VLOOKUP(Tabla3[[#This Row],[PROVEEDOR]],'SAPROV (2)'!A:B,2,FALSE)</f>
        <v>36</v>
      </c>
      <c r="M633" t="str">
        <f>VLOOKUP(Tabla3[[#This Row],[SERVICIO]],'SAPROV (2)'!I:J,2,FALSE)</f>
        <v>SERV0011</v>
      </c>
      <c r="N633" t="s">
        <v>927</v>
      </c>
      <c r="P633">
        <f>VLOOKUP(Tabla3[[#This Row],[FECHA]],TASA[],2,FALSE)</f>
        <v>330.38</v>
      </c>
      <c r="Q633" s="35">
        <f t="shared" si="92"/>
        <v>-60</v>
      </c>
      <c r="R633" t="s">
        <v>1268</v>
      </c>
    </row>
    <row r="634" spans="1:18" x14ac:dyDescent="0.25">
      <c r="A634" s="33">
        <v>46035</v>
      </c>
      <c r="B634" s="1">
        <v>420346354</v>
      </c>
      <c r="C634" s="2" t="s">
        <v>1256</v>
      </c>
      <c r="D634" s="34">
        <v>-308.25</v>
      </c>
      <c r="E634" t="s">
        <v>20</v>
      </c>
      <c r="F634" s="2" t="e">
        <f>VLOOKUP(Tabla3[[#This Row],[CONTABLE]],'SAPROV (2)'!L:M,2,FALSE)</f>
        <v>#N/A</v>
      </c>
      <c r="H634" t="s">
        <v>1278</v>
      </c>
      <c r="I634" s="2" t="str">
        <f>VLOOKUP(Tabla3[[#This Row],[Deposito]],'SAPROV (2)'!D:E,2,FALSE)</f>
        <v>06</v>
      </c>
      <c r="K634" s="2" t="s">
        <v>101</v>
      </c>
      <c r="L634" s="2" t="str">
        <f>VLOOKUP(Tabla3[[#This Row],[PROVEEDOR]],'SAPROV (2)'!A:B,2,FALSE)</f>
        <v>36</v>
      </c>
      <c r="M634" t="str">
        <f>VLOOKUP(Tabla3[[#This Row],[SERVICIO]],'SAPROV (2)'!I:J,2,FALSE)</f>
        <v>SERV0011</v>
      </c>
      <c r="N634" t="s">
        <v>927</v>
      </c>
      <c r="P634">
        <f>VLOOKUP(Tabla3[[#This Row],[FECHA]],TASA[],2,FALSE)</f>
        <v>330.38</v>
      </c>
      <c r="Q634" s="35">
        <f t="shared" si="92"/>
        <v>-0.9330165264241177</v>
      </c>
      <c r="R634" t="s">
        <v>1268</v>
      </c>
    </row>
    <row r="635" spans="1:18" x14ac:dyDescent="0.25">
      <c r="A635" s="33">
        <v>46035</v>
      </c>
      <c r="B635" s="1">
        <v>420346353</v>
      </c>
      <c r="C635" s="2" t="s">
        <v>1256</v>
      </c>
      <c r="D635" s="34">
        <v>-308.25</v>
      </c>
      <c r="E635" t="s">
        <v>20</v>
      </c>
      <c r="F635" s="2" t="e">
        <f>VLOOKUP(Tabla3[[#This Row],[CONTABLE]],'SAPROV (2)'!L:M,2,FALSE)</f>
        <v>#N/A</v>
      </c>
      <c r="H635" t="s">
        <v>1278</v>
      </c>
      <c r="I635" s="2" t="str">
        <f>VLOOKUP(Tabla3[[#This Row],[Deposito]],'SAPROV (2)'!D:E,2,FALSE)</f>
        <v>06</v>
      </c>
      <c r="K635" s="2" t="s">
        <v>101</v>
      </c>
      <c r="L635" s="23" t="str">
        <f>VLOOKUP(Tabla3[[#This Row],[PROVEEDOR]],'SAPROV (2)'!A:B,2,FALSE)</f>
        <v>36</v>
      </c>
      <c r="M635" t="str">
        <f>VLOOKUP(Tabla3[[#This Row],[SERVICIO]],'SAPROV (2)'!I:J,2,FALSE)</f>
        <v>SERV0011</v>
      </c>
      <c r="N635" t="s">
        <v>927</v>
      </c>
      <c r="P635">
        <f>VLOOKUP(Tabla3[[#This Row],[FECHA]],TASA[],2,FALSE)</f>
        <v>330.38</v>
      </c>
      <c r="Q635" s="35">
        <f t="shared" si="92"/>
        <v>-0.9330165264241177</v>
      </c>
      <c r="R635" t="s">
        <v>1268</v>
      </c>
    </row>
    <row r="636" spans="1:18" x14ac:dyDescent="0.25">
      <c r="A636" s="33">
        <v>46035</v>
      </c>
      <c r="B636" s="1">
        <v>420346355</v>
      </c>
      <c r="C636" s="2" t="s">
        <v>1256</v>
      </c>
      <c r="D636" s="34">
        <v>-308.25</v>
      </c>
      <c r="E636" t="s">
        <v>20</v>
      </c>
      <c r="F636" s="2" t="e">
        <f>VLOOKUP(Tabla3[[#This Row],[CONTABLE]],'SAPROV (2)'!L:M,2,FALSE)</f>
        <v>#N/A</v>
      </c>
      <c r="H636" t="s">
        <v>1278</v>
      </c>
      <c r="I636" s="2" t="str">
        <f>VLOOKUP(Tabla3[[#This Row],[Deposito]],'SAPROV (2)'!D:E,2,FALSE)</f>
        <v>06</v>
      </c>
      <c r="K636" s="2" t="s">
        <v>101</v>
      </c>
      <c r="L636" s="23" t="str">
        <f>VLOOKUP(Tabla3[[#This Row],[PROVEEDOR]],'SAPROV (2)'!A:B,2,FALSE)</f>
        <v>36</v>
      </c>
      <c r="M636" t="str">
        <f>VLOOKUP(Tabla3[[#This Row],[SERVICIO]],'SAPROV (2)'!I:J,2,FALSE)</f>
        <v>SERV0011</v>
      </c>
      <c r="N636" t="s">
        <v>927</v>
      </c>
      <c r="P636">
        <f>VLOOKUP(Tabla3[[#This Row],[FECHA]],TASA[],2,FALSE)</f>
        <v>330.38</v>
      </c>
      <c r="Q636" s="35">
        <f t="shared" si="92"/>
        <v>-0.9330165264241177</v>
      </c>
      <c r="R636" t="s">
        <v>1268</v>
      </c>
    </row>
    <row r="637" spans="1:18" x14ac:dyDescent="0.25">
      <c r="A637" s="33">
        <v>46035</v>
      </c>
      <c r="B637" s="1">
        <v>520346356</v>
      </c>
      <c r="C637" s="2" t="s">
        <v>1256</v>
      </c>
      <c r="D637" s="34">
        <v>-308.25</v>
      </c>
      <c r="E637" t="s">
        <v>20</v>
      </c>
      <c r="F637" s="2" t="e">
        <f>VLOOKUP(Tabla3[[#This Row],[CONTABLE]],'SAPROV (2)'!L:M,2,FALSE)</f>
        <v>#N/A</v>
      </c>
      <c r="H637" t="s">
        <v>1278</v>
      </c>
      <c r="I637" s="2" t="str">
        <f>VLOOKUP(Tabla3[[#This Row],[Deposito]],'SAPROV (2)'!D:E,2,FALSE)</f>
        <v>06</v>
      </c>
      <c r="K637" s="2" t="s">
        <v>101</v>
      </c>
      <c r="L637" s="2" t="str">
        <f>VLOOKUP(Tabla3[[#This Row],[PROVEEDOR]],'SAPROV (2)'!A:B,2,FALSE)</f>
        <v>36</v>
      </c>
      <c r="M637" t="str">
        <f>VLOOKUP(Tabla3[[#This Row],[SERVICIO]],'SAPROV (2)'!I:J,2,FALSE)</f>
        <v>SERV0011</v>
      </c>
      <c r="N637" t="s">
        <v>927</v>
      </c>
      <c r="P637">
        <f>VLOOKUP(Tabla3[[#This Row],[FECHA]],TASA[],2,FALSE)</f>
        <v>330.38</v>
      </c>
      <c r="Q637" s="35">
        <f t="shared" si="92"/>
        <v>-0.9330165264241177</v>
      </c>
      <c r="R637" t="s">
        <v>1268</v>
      </c>
    </row>
    <row r="638" spans="1:18" x14ac:dyDescent="0.25">
      <c r="A638" s="33">
        <v>46035</v>
      </c>
      <c r="B638" s="1">
        <v>520346358</v>
      </c>
      <c r="C638" s="2" t="s">
        <v>1256</v>
      </c>
      <c r="D638" s="34">
        <v>-308.25</v>
      </c>
      <c r="E638" t="s">
        <v>20</v>
      </c>
      <c r="F638" s="2" t="e">
        <f>VLOOKUP(Tabla3[[#This Row],[CONTABLE]],'SAPROV (2)'!L:M,2,FALSE)</f>
        <v>#N/A</v>
      </c>
      <c r="H638" t="s">
        <v>1278</v>
      </c>
      <c r="I638" s="2" t="str">
        <f>VLOOKUP(Tabla3[[#This Row],[Deposito]],'SAPROV (2)'!D:E,2,FALSE)</f>
        <v>06</v>
      </c>
      <c r="K638" s="2" t="s">
        <v>101</v>
      </c>
      <c r="L638" s="23" t="str">
        <f>VLOOKUP(Tabla3[[#This Row],[PROVEEDOR]],'SAPROV (2)'!A:B,2,FALSE)</f>
        <v>36</v>
      </c>
      <c r="M638" t="str">
        <f>VLOOKUP(Tabla3[[#This Row],[SERVICIO]],'SAPROV (2)'!I:J,2,FALSE)</f>
        <v>SERV0011</v>
      </c>
      <c r="N638" t="s">
        <v>927</v>
      </c>
      <c r="P638">
        <f>VLOOKUP(Tabla3[[#This Row],[FECHA]],TASA[],2,FALSE)</f>
        <v>330.38</v>
      </c>
      <c r="Q638" s="35">
        <f t="shared" si="92"/>
        <v>-0.9330165264241177</v>
      </c>
      <c r="R638" t="s">
        <v>1268</v>
      </c>
    </row>
    <row r="639" spans="1:18" x14ac:dyDescent="0.25">
      <c r="A639" s="33">
        <v>46035</v>
      </c>
      <c r="B639" s="1">
        <v>520346362</v>
      </c>
      <c r="C639" s="2" t="s">
        <v>1256</v>
      </c>
      <c r="D639" s="34">
        <v>-308.25</v>
      </c>
      <c r="E639" t="s">
        <v>20</v>
      </c>
      <c r="F639" s="2" t="e">
        <f>VLOOKUP(Tabla3[[#This Row],[CONTABLE]],'SAPROV (2)'!L:M,2,FALSE)</f>
        <v>#N/A</v>
      </c>
      <c r="H639" t="s">
        <v>1278</v>
      </c>
      <c r="I639" s="2" t="str">
        <f>VLOOKUP(Tabla3[[#This Row],[Deposito]],'SAPROV (2)'!D:E,2,FALSE)</f>
        <v>06</v>
      </c>
      <c r="K639" s="2" t="s">
        <v>101</v>
      </c>
      <c r="L639" s="23" t="str">
        <f>VLOOKUP(Tabla3[[#This Row],[PROVEEDOR]],'SAPROV (2)'!A:B,2,FALSE)</f>
        <v>36</v>
      </c>
      <c r="M639" t="str">
        <f>VLOOKUP(Tabla3[[#This Row],[SERVICIO]],'SAPROV (2)'!I:J,2,FALSE)</f>
        <v>SERV0011</v>
      </c>
      <c r="N639" t="s">
        <v>927</v>
      </c>
      <c r="P639">
        <f>VLOOKUP(Tabla3[[#This Row],[FECHA]],TASA[],2,FALSE)</f>
        <v>330.38</v>
      </c>
      <c r="Q639" s="35">
        <f t="shared" si="92"/>
        <v>-0.9330165264241177</v>
      </c>
      <c r="R639" t="s">
        <v>1268</v>
      </c>
    </row>
    <row r="640" spans="1:18" x14ac:dyDescent="0.25">
      <c r="A640" s="33">
        <v>46035</v>
      </c>
      <c r="B640" s="1">
        <v>520346359</v>
      </c>
      <c r="C640" s="2" t="s">
        <v>1256</v>
      </c>
      <c r="D640" s="34">
        <v>-308.25</v>
      </c>
      <c r="E640" t="s">
        <v>20</v>
      </c>
      <c r="F640" s="2" t="e">
        <f>VLOOKUP(Tabla3[[#This Row],[CONTABLE]],'SAPROV (2)'!L:M,2,FALSE)</f>
        <v>#N/A</v>
      </c>
      <c r="H640" t="s">
        <v>1278</v>
      </c>
      <c r="I640" s="2" t="str">
        <f>VLOOKUP(Tabla3[[#This Row],[Deposito]],'SAPROV (2)'!D:E,2,FALSE)</f>
        <v>06</v>
      </c>
      <c r="K640" s="2" t="s">
        <v>101</v>
      </c>
      <c r="L640" s="2" t="str">
        <f>VLOOKUP(Tabla3[[#This Row],[PROVEEDOR]],'SAPROV (2)'!A:B,2,FALSE)</f>
        <v>36</v>
      </c>
      <c r="M640" t="str">
        <f>VLOOKUP(Tabla3[[#This Row],[SERVICIO]],'SAPROV (2)'!I:J,2,FALSE)</f>
        <v>SERV0011</v>
      </c>
      <c r="N640" t="s">
        <v>927</v>
      </c>
      <c r="P640">
        <f>VLOOKUP(Tabla3[[#This Row],[FECHA]],TASA[],2,FALSE)</f>
        <v>330.38</v>
      </c>
      <c r="Q640" s="35">
        <f t="shared" si="92"/>
        <v>-0.9330165264241177</v>
      </c>
      <c r="R640" t="s">
        <v>1268</v>
      </c>
    </row>
    <row r="641" spans="1:18" x14ac:dyDescent="0.25">
      <c r="A641" s="33">
        <v>46035</v>
      </c>
      <c r="B641" s="1">
        <v>520346361</v>
      </c>
      <c r="C641" s="2" t="s">
        <v>1256</v>
      </c>
      <c r="D641" s="34">
        <v>-308.25</v>
      </c>
      <c r="E641" t="s">
        <v>20</v>
      </c>
      <c r="F641" s="2" t="e">
        <f>VLOOKUP(Tabla3[[#This Row],[CONTABLE]],'SAPROV (2)'!L:M,2,FALSE)</f>
        <v>#N/A</v>
      </c>
      <c r="H641" t="s">
        <v>1278</v>
      </c>
      <c r="I641" s="2" t="str">
        <f>VLOOKUP(Tabla3[[#This Row],[Deposito]],'SAPROV (2)'!D:E,2,FALSE)</f>
        <v>06</v>
      </c>
      <c r="K641" s="2" t="s">
        <v>101</v>
      </c>
      <c r="L641" s="23" t="str">
        <f>VLOOKUP(Tabla3[[#This Row],[PROVEEDOR]],'SAPROV (2)'!A:B,2,FALSE)</f>
        <v>36</v>
      </c>
      <c r="M641" t="str">
        <f>VLOOKUP(Tabla3[[#This Row],[SERVICIO]],'SAPROV (2)'!I:J,2,FALSE)</f>
        <v>SERV0011</v>
      </c>
      <c r="N641" t="s">
        <v>927</v>
      </c>
      <c r="P641">
        <f>VLOOKUP(Tabla3[[#This Row],[FECHA]],TASA[],2,FALSE)</f>
        <v>330.38</v>
      </c>
      <c r="Q641" s="35">
        <f t="shared" si="92"/>
        <v>-0.9330165264241177</v>
      </c>
      <c r="R641" t="s">
        <v>1268</v>
      </c>
    </row>
    <row r="642" spans="1:18" x14ac:dyDescent="0.25">
      <c r="A642" s="33">
        <v>46035</v>
      </c>
      <c r="B642" s="1">
        <v>520346357</v>
      </c>
      <c r="C642" s="2" t="s">
        <v>1256</v>
      </c>
      <c r="D642" s="34">
        <v>-308.25</v>
      </c>
      <c r="E642" t="s">
        <v>20</v>
      </c>
      <c r="F642" s="2" t="e">
        <f>VLOOKUP(Tabla3[[#This Row],[CONTABLE]],'SAPROV (2)'!L:M,2,FALSE)</f>
        <v>#N/A</v>
      </c>
      <c r="H642" t="s">
        <v>1278</v>
      </c>
      <c r="I642" s="2" t="str">
        <f>VLOOKUP(Tabla3[[#This Row],[Deposito]],'SAPROV (2)'!D:E,2,FALSE)</f>
        <v>06</v>
      </c>
      <c r="K642" s="2" t="s">
        <v>101</v>
      </c>
      <c r="L642" s="23" t="str">
        <f>VLOOKUP(Tabla3[[#This Row],[PROVEEDOR]],'SAPROV (2)'!A:B,2,FALSE)</f>
        <v>36</v>
      </c>
      <c r="M642" t="str">
        <f>VLOOKUP(Tabla3[[#This Row],[SERVICIO]],'SAPROV (2)'!I:J,2,FALSE)</f>
        <v>SERV0011</v>
      </c>
      <c r="N642" t="s">
        <v>927</v>
      </c>
      <c r="P642">
        <f>VLOOKUP(Tabla3[[#This Row],[FECHA]],TASA[],2,FALSE)</f>
        <v>330.38</v>
      </c>
      <c r="Q642" s="35">
        <f t="shared" si="92"/>
        <v>-0.9330165264241177</v>
      </c>
      <c r="R642" t="s">
        <v>1268</v>
      </c>
    </row>
    <row r="643" spans="1:18" x14ac:dyDescent="0.25">
      <c r="A643" s="33">
        <v>46035</v>
      </c>
      <c r="B643" s="1">
        <v>520346364</v>
      </c>
      <c r="C643" s="2" t="s">
        <v>1285</v>
      </c>
      <c r="D643" s="34">
        <v>-308.25</v>
      </c>
      <c r="E643" t="s">
        <v>20</v>
      </c>
      <c r="F643" s="2" t="e">
        <f>VLOOKUP(Tabla3[[#This Row],[CONTABLE]],'SAPROV (2)'!L:M,2,FALSE)</f>
        <v>#N/A</v>
      </c>
      <c r="H643" t="s">
        <v>1281</v>
      </c>
      <c r="I643" s="2" t="str">
        <f>VLOOKUP(Tabla3[[#This Row],[Deposito]],'SAPROV (2)'!D:E,2,FALSE)</f>
        <v>07</v>
      </c>
      <c r="K643" s="2" t="s">
        <v>101</v>
      </c>
      <c r="L643" s="2" t="str">
        <f>VLOOKUP(Tabla3[[#This Row],[PROVEEDOR]],'SAPROV (2)'!A:B,2,FALSE)</f>
        <v>36</v>
      </c>
      <c r="M643" t="str">
        <f>VLOOKUP(Tabla3[[#This Row],[SERVICIO]],'SAPROV (2)'!I:J,2,FALSE)</f>
        <v>SERV0011</v>
      </c>
      <c r="N643" t="s">
        <v>927</v>
      </c>
      <c r="P643">
        <f>VLOOKUP(Tabla3[[#This Row],[FECHA]],TASA[],2,FALSE)</f>
        <v>330.38</v>
      </c>
      <c r="Q643" s="35">
        <f t="shared" si="92"/>
        <v>-0.9330165264241177</v>
      </c>
      <c r="R643" t="s">
        <v>1268</v>
      </c>
    </row>
    <row r="644" spans="1:18" x14ac:dyDescent="0.25">
      <c r="A644" s="33">
        <v>46035</v>
      </c>
      <c r="B644" s="1">
        <v>520346366</v>
      </c>
      <c r="C644" s="2" t="s">
        <v>1285</v>
      </c>
      <c r="D644" s="34">
        <v>-308.25</v>
      </c>
      <c r="E644" t="s">
        <v>20</v>
      </c>
      <c r="F644" s="2" t="e">
        <f>VLOOKUP(Tabla3[[#This Row],[CONTABLE]],'SAPROV (2)'!L:M,2,FALSE)</f>
        <v>#N/A</v>
      </c>
      <c r="H644" t="s">
        <v>1281</v>
      </c>
      <c r="I644" s="2" t="str">
        <f>VLOOKUP(Tabla3[[#This Row],[Deposito]],'SAPROV (2)'!D:E,2,FALSE)</f>
        <v>07</v>
      </c>
      <c r="K644" s="2" t="s">
        <v>101</v>
      </c>
      <c r="L644" s="23" t="str">
        <f>VLOOKUP(Tabla3[[#This Row],[PROVEEDOR]],'SAPROV (2)'!A:B,2,FALSE)</f>
        <v>36</v>
      </c>
      <c r="M644" t="str">
        <f>VLOOKUP(Tabla3[[#This Row],[SERVICIO]],'SAPROV (2)'!I:J,2,FALSE)</f>
        <v>SERV0011</v>
      </c>
      <c r="N644" t="s">
        <v>927</v>
      </c>
      <c r="P644">
        <f>VLOOKUP(Tabla3[[#This Row],[FECHA]],TASA[],2,FALSE)</f>
        <v>330.38</v>
      </c>
      <c r="Q644" s="35">
        <f t="shared" si="92"/>
        <v>-0.9330165264241177</v>
      </c>
      <c r="R644" t="s">
        <v>1268</v>
      </c>
    </row>
    <row r="645" spans="1:18" x14ac:dyDescent="0.25">
      <c r="A645" s="33">
        <v>46035</v>
      </c>
      <c r="B645" s="1">
        <v>620346368</v>
      </c>
      <c r="C645" s="2" t="s">
        <v>1285</v>
      </c>
      <c r="D645" s="34">
        <v>-308.25</v>
      </c>
      <c r="E645" t="s">
        <v>20</v>
      </c>
      <c r="F645" s="2" t="e">
        <f>VLOOKUP(Tabla3[[#This Row],[CONTABLE]],'SAPROV (2)'!L:M,2,FALSE)</f>
        <v>#N/A</v>
      </c>
      <c r="H645" t="s">
        <v>1281</v>
      </c>
      <c r="I645" s="2" t="str">
        <f>VLOOKUP(Tabla3[[#This Row],[Deposito]],'SAPROV (2)'!D:E,2,FALSE)</f>
        <v>07</v>
      </c>
      <c r="K645" s="2" t="s">
        <v>101</v>
      </c>
      <c r="L645" s="23" t="str">
        <f>VLOOKUP(Tabla3[[#This Row],[PROVEEDOR]],'SAPROV (2)'!A:B,2,FALSE)</f>
        <v>36</v>
      </c>
      <c r="M645" t="str">
        <f>VLOOKUP(Tabla3[[#This Row],[SERVICIO]],'SAPROV (2)'!I:J,2,FALSE)</f>
        <v>SERV0011</v>
      </c>
      <c r="N645" t="s">
        <v>927</v>
      </c>
      <c r="P645">
        <f>VLOOKUP(Tabla3[[#This Row],[FECHA]],TASA[],2,FALSE)</f>
        <v>330.38</v>
      </c>
      <c r="Q645" s="35">
        <f t="shared" si="92"/>
        <v>-0.9330165264241177</v>
      </c>
      <c r="R645" t="s">
        <v>1268</v>
      </c>
    </row>
    <row r="646" spans="1:18" x14ac:dyDescent="0.25">
      <c r="A646" s="33">
        <v>46035</v>
      </c>
      <c r="B646" s="1">
        <v>620346367</v>
      </c>
      <c r="C646" s="2" t="s">
        <v>1285</v>
      </c>
      <c r="D646" s="34">
        <v>-308.25</v>
      </c>
      <c r="E646" t="s">
        <v>20</v>
      </c>
      <c r="F646" s="2" t="e">
        <f>VLOOKUP(Tabla3[[#This Row],[CONTABLE]],'SAPROV (2)'!L:M,2,FALSE)</f>
        <v>#N/A</v>
      </c>
      <c r="H646" t="s">
        <v>1281</v>
      </c>
      <c r="I646" s="2" t="str">
        <f>VLOOKUP(Tabla3[[#This Row],[Deposito]],'SAPROV (2)'!D:E,2,FALSE)</f>
        <v>07</v>
      </c>
      <c r="K646" s="2" t="s">
        <v>101</v>
      </c>
      <c r="L646" s="2" t="str">
        <f>VLOOKUP(Tabla3[[#This Row],[PROVEEDOR]],'SAPROV (2)'!A:B,2,FALSE)</f>
        <v>36</v>
      </c>
      <c r="M646" t="str">
        <f>VLOOKUP(Tabla3[[#This Row],[SERVICIO]],'SAPROV (2)'!I:J,2,FALSE)</f>
        <v>SERV0011</v>
      </c>
      <c r="N646" t="s">
        <v>927</v>
      </c>
      <c r="P646">
        <f>VLOOKUP(Tabla3[[#This Row],[FECHA]],TASA[],2,FALSE)</f>
        <v>330.38</v>
      </c>
      <c r="Q646" s="35">
        <f t="shared" si="92"/>
        <v>-0.9330165264241177</v>
      </c>
      <c r="R646" t="s">
        <v>1268</v>
      </c>
    </row>
    <row r="647" spans="1:18" x14ac:dyDescent="0.25">
      <c r="A647" s="33">
        <v>46035</v>
      </c>
      <c r="B647" s="1">
        <v>520346363</v>
      </c>
      <c r="C647" s="2" t="s">
        <v>1285</v>
      </c>
      <c r="D647" s="34">
        <v>-308.25</v>
      </c>
      <c r="E647" t="s">
        <v>20</v>
      </c>
      <c r="F647" s="2" t="e">
        <f>VLOOKUP(Tabla3[[#This Row],[CONTABLE]],'SAPROV (2)'!L:M,2,FALSE)</f>
        <v>#N/A</v>
      </c>
      <c r="H647" t="s">
        <v>1281</v>
      </c>
      <c r="I647" s="2" t="str">
        <f>VLOOKUP(Tabla3[[#This Row],[Deposito]],'SAPROV (2)'!D:E,2,FALSE)</f>
        <v>07</v>
      </c>
      <c r="K647" s="2" t="s">
        <v>101</v>
      </c>
      <c r="L647" s="23" t="str">
        <f>VLOOKUP(Tabla3[[#This Row],[PROVEEDOR]],'SAPROV (2)'!A:B,2,FALSE)</f>
        <v>36</v>
      </c>
      <c r="M647" t="str">
        <f>VLOOKUP(Tabla3[[#This Row],[SERVICIO]],'SAPROV (2)'!I:J,2,FALSE)</f>
        <v>SERV0011</v>
      </c>
      <c r="N647" t="s">
        <v>927</v>
      </c>
      <c r="P647">
        <f>VLOOKUP(Tabla3[[#This Row],[FECHA]],TASA[],2,FALSE)</f>
        <v>330.38</v>
      </c>
      <c r="Q647" s="35">
        <f t="shared" si="92"/>
        <v>-0.9330165264241177</v>
      </c>
      <c r="R647" t="s">
        <v>1268</v>
      </c>
    </row>
    <row r="648" spans="1:18" x14ac:dyDescent="0.25">
      <c r="A648" s="33">
        <v>46035</v>
      </c>
      <c r="B648" s="1">
        <v>620346370</v>
      </c>
      <c r="C648" s="2" t="s">
        <v>1285</v>
      </c>
      <c r="D648" s="34">
        <v>-308.25</v>
      </c>
      <c r="E648" t="s">
        <v>20</v>
      </c>
      <c r="F648" s="2" t="e">
        <f>VLOOKUP(Tabla3[[#This Row],[CONTABLE]],'SAPROV (2)'!L:M,2,FALSE)</f>
        <v>#N/A</v>
      </c>
      <c r="H648" t="s">
        <v>1281</v>
      </c>
      <c r="I648" s="2" t="str">
        <f>VLOOKUP(Tabla3[[#This Row],[Deposito]],'SAPROV (2)'!D:E,2,FALSE)</f>
        <v>07</v>
      </c>
      <c r="K648" s="2" t="s">
        <v>101</v>
      </c>
      <c r="L648" s="23" t="str">
        <f>VLOOKUP(Tabla3[[#This Row],[PROVEEDOR]],'SAPROV (2)'!A:B,2,FALSE)</f>
        <v>36</v>
      </c>
      <c r="M648" t="str">
        <f>VLOOKUP(Tabla3[[#This Row],[SERVICIO]],'SAPROV (2)'!I:J,2,FALSE)</f>
        <v>SERV0011</v>
      </c>
      <c r="N648" t="s">
        <v>927</v>
      </c>
      <c r="P648">
        <f>VLOOKUP(Tabla3[[#This Row],[FECHA]],TASA[],2,FALSE)</f>
        <v>330.38</v>
      </c>
      <c r="Q648" s="35">
        <f t="shared" si="92"/>
        <v>-0.9330165264241177</v>
      </c>
      <c r="R648" t="s">
        <v>1268</v>
      </c>
    </row>
    <row r="649" spans="1:18" x14ac:dyDescent="0.25">
      <c r="A649" s="33">
        <v>46035</v>
      </c>
      <c r="B649" s="1">
        <v>620346369</v>
      </c>
      <c r="C649" s="2" t="s">
        <v>1285</v>
      </c>
      <c r="D649" s="34">
        <v>-308.25</v>
      </c>
      <c r="E649" t="s">
        <v>20</v>
      </c>
      <c r="F649" s="2" t="e">
        <f>VLOOKUP(Tabla3[[#This Row],[CONTABLE]],'SAPROV (2)'!L:M,2,FALSE)</f>
        <v>#N/A</v>
      </c>
      <c r="H649" t="s">
        <v>1281</v>
      </c>
      <c r="I649" s="2" t="str">
        <f>VLOOKUP(Tabla3[[#This Row],[Deposito]],'SAPROV (2)'!D:E,2,FALSE)</f>
        <v>07</v>
      </c>
      <c r="K649" s="2" t="s">
        <v>101</v>
      </c>
      <c r="L649" s="2" t="str">
        <f>VLOOKUP(Tabla3[[#This Row],[PROVEEDOR]],'SAPROV (2)'!A:B,2,FALSE)</f>
        <v>36</v>
      </c>
      <c r="M649" t="str">
        <f>VLOOKUP(Tabla3[[#This Row],[SERVICIO]],'SAPROV (2)'!I:J,2,FALSE)</f>
        <v>SERV0011</v>
      </c>
      <c r="N649" t="s">
        <v>927</v>
      </c>
      <c r="P649">
        <f>VLOOKUP(Tabla3[[#This Row],[FECHA]],TASA[],2,FALSE)</f>
        <v>330.38</v>
      </c>
      <c r="Q649" s="35">
        <f t="shared" si="92"/>
        <v>-0.9330165264241177</v>
      </c>
      <c r="R649" t="s">
        <v>1268</v>
      </c>
    </row>
    <row r="650" spans="1:18" x14ac:dyDescent="0.25">
      <c r="A650" s="33">
        <v>46035</v>
      </c>
      <c r="B650" s="1">
        <v>620346371</v>
      </c>
      <c r="C650" s="2" t="s">
        <v>1285</v>
      </c>
      <c r="D650" s="34">
        <v>-308.25</v>
      </c>
      <c r="E650" t="s">
        <v>20</v>
      </c>
      <c r="F650" s="2" t="e">
        <f>VLOOKUP(Tabla3[[#This Row],[CONTABLE]],'SAPROV (2)'!L:M,2,FALSE)</f>
        <v>#N/A</v>
      </c>
      <c r="H650" t="s">
        <v>1281</v>
      </c>
      <c r="I650" s="2" t="str">
        <f>VLOOKUP(Tabla3[[#This Row],[Deposito]],'SAPROV (2)'!D:E,2,FALSE)</f>
        <v>07</v>
      </c>
      <c r="K650" s="2" t="s">
        <v>101</v>
      </c>
      <c r="L650" s="23" t="str">
        <f>VLOOKUP(Tabla3[[#This Row],[PROVEEDOR]],'SAPROV (2)'!A:B,2,FALSE)</f>
        <v>36</v>
      </c>
      <c r="M650" t="str">
        <f>VLOOKUP(Tabla3[[#This Row],[SERVICIO]],'SAPROV (2)'!I:J,2,FALSE)</f>
        <v>SERV0011</v>
      </c>
      <c r="N650" t="s">
        <v>927</v>
      </c>
      <c r="P650">
        <f>VLOOKUP(Tabla3[[#This Row],[FECHA]],TASA[],2,FALSE)</f>
        <v>330.38</v>
      </c>
      <c r="Q650" s="35">
        <f t="shared" si="92"/>
        <v>-0.9330165264241177</v>
      </c>
      <c r="R650" t="s">
        <v>1268</v>
      </c>
    </row>
    <row r="651" spans="1:18" x14ac:dyDescent="0.25">
      <c r="A651" s="33">
        <v>46035</v>
      </c>
      <c r="B651" s="1">
        <v>620346373</v>
      </c>
      <c r="C651" s="2" t="s">
        <v>1285</v>
      </c>
      <c r="D651" s="34">
        <v>-308.25</v>
      </c>
      <c r="E651" t="s">
        <v>20</v>
      </c>
      <c r="F651" s="2" t="e">
        <f>VLOOKUP(Tabla3[[#This Row],[CONTABLE]],'SAPROV (2)'!L:M,2,FALSE)</f>
        <v>#N/A</v>
      </c>
      <c r="H651" t="s">
        <v>1281</v>
      </c>
      <c r="I651" s="2" t="str">
        <f>VLOOKUP(Tabla3[[#This Row],[Deposito]],'SAPROV (2)'!D:E,2,FALSE)</f>
        <v>07</v>
      </c>
      <c r="K651" s="2" t="s">
        <v>101</v>
      </c>
      <c r="L651" s="23" t="str">
        <f>VLOOKUP(Tabla3[[#This Row],[PROVEEDOR]],'SAPROV (2)'!A:B,2,FALSE)</f>
        <v>36</v>
      </c>
      <c r="M651" t="str">
        <f>VLOOKUP(Tabla3[[#This Row],[SERVICIO]],'SAPROV (2)'!I:J,2,FALSE)</f>
        <v>SERV0011</v>
      </c>
      <c r="N651" t="s">
        <v>927</v>
      </c>
      <c r="P651">
        <f>VLOOKUP(Tabla3[[#This Row],[FECHA]],TASA[],2,FALSE)</f>
        <v>330.38</v>
      </c>
      <c r="Q651" s="35">
        <f t="shared" si="92"/>
        <v>-0.9330165264241177</v>
      </c>
      <c r="R651" t="s">
        <v>1268</v>
      </c>
    </row>
    <row r="652" spans="1:18" x14ac:dyDescent="0.25">
      <c r="A652" s="33">
        <v>46035</v>
      </c>
      <c r="B652" s="1">
        <v>620346372</v>
      </c>
      <c r="C652" s="2" t="s">
        <v>1285</v>
      </c>
      <c r="D652" s="34">
        <v>-308.25</v>
      </c>
      <c r="E652" t="s">
        <v>20</v>
      </c>
      <c r="F652" s="2" t="e">
        <f>VLOOKUP(Tabla3[[#This Row],[CONTABLE]],'SAPROV (2)'!L:M,2,FALSE)</f>
        <v>#N/A</v>
      </c>
      <c r="H652" t="s">
        <v>1281</v>
      </c>
      <c r="I652" s="2" t="str">
        <f>VLOOKUP(Tabla3[[#This Row],[Deposito]],'SAPROV (2)'!D:E,2,FALSE)</f>
        <v>07</v>
      </c>
      <c r="K652" s="2" t="s">
        <v>101</v>
      </c>
      <c r="L652" s="2" t="str">
        <f>VLOOKUP(Tabla3[[#This Row],[PROVEEDOR]],'SAPROV (2)'!A:B,2,FALSE)</f>
        <v>36</v>
      </c>
      <c r="M652" t="str">
        <f>VLOOKUP(Tabla3[[#This Row],[SERVICIO]],'SAPROV (2)'!I:J,2,FALSE)</f>
        <v>SERV0011</v>
      </c>
      <c r="N652" t="s">
        <v>927</v>
      </c>
      <c r="P652">
        <f>VLOOKUP(Tabla3[[#This Row],[FECHA]],TASA[],2,FALSE)</f>
        <v>330.38</v>
      </c>
      <c r="Q652" s="35">
        <f t="shared" si="92"/>
        <v>-0.9330165264241177</v>
      </c>
      <c r="R652" t="s">
        <v>1268</v>
      </c>
    </row>
    <row r="653" spans="1:18" x14ac:dyDescent="0.25">
      <c r="A653" s="33">
        <v>46035</v>
      </c>
      <c r="B653" s="1">
        <v>620346374</v>
      </c>
      <c r="C653" s="2" t="s">
        <v>1285</v>
      </c>
      <c r="D653" s="34">
        <v>-308.25</v>
      </c>
      <c r="E653" t="s">
        <v>20</v>
      </c>
      <c r="F653" s="2" t="e">
        <f>VLOOKUP(Tabla3[[#This Row],[CONTABLE]],'SAPROV (2)'!L:M,2,FALSE)</f>
        <v>#N/A</v>
      </c>
      <c r="H653" t="s">
        <v>1281</v>
      </c>
      <c r="I653" s="2" t="str">
        <f>VLOOKUP(Tabla3[[#This Row],[Deposito]],'SAPROV (2)'!D:E,2,FALSE)</f>
        <v>07</v>
      </c>
      <c r="K653" s="2" t="s">
        <v>101</v>
      </c>
      <c r="L653" s="23" t="str">
        <f>VLOOKUP(Tabla3[[#This Row],[PROVEEDOR]],'SAPROV (2)'!A:B,2,FALSE)</f>
        <v>36</v>
      </c>
      <c r="M653" t="str">
        <f>VLOOKUP(Tabla3[[#This Row],[SERVICIO]],'SAPROV (2)'!I:J,2,FALSE)</f>
        <v>SERV0011</v>
      </c>
      <c r="N653" t="s">
        <v>927</v>
      </c>
      <c r="P653">
        <f>VLOOKUP(Tabla3[[#This Row],[FECHA]],TASA[],2,FALSE)</f>
        <v>330.38</v>
      </c>
      <c r="Q653" s="35">
        <f t="shared" si="92"/>
        <v>-0.9330165264241177</v>
      </c>
      <c r="R653" t="s">
        <v>1268</v>
      </c>
    </row>
    <row r="654" spans="1:18" x14ac:dyDescent="0.25">
      <c r="A654" s="33">
        <v>46035</v>
      </c>
      <c r="B654" s="1">
        <v>720346376</v>
      </c>
      <c r="C654" s="2" t="s">
        <v>1285</v>
      </c>
      <c r="D654" s="34">
        <v>-308.25</v>
      </c>
      <c r="E654" t="s">
        <v>20</v>
      </c>
      <c r="F654" s="2" t="e">
        <f>VLOOKUP(Tabla3[[#This Row],[CONTABLE]],'SAPROV (2)'!L:M,2,FALSE)</f>
        <v>#N/A</v>
      </c>
      <c r="H654" t="s">
        <v>1281</v>
      </c>
      <c r="I654" s="2" t="str">
        <f>VLOOKUP(Tabla3[[#This Row],[Deposito]],'SAPROV (2)'!D:E,2,FALSE)</f>
        <v>07</v>
      </c>
      <c r="K654" s="2" t="s">
        <v>101</v>
      </c>
      <c r="L654" s="23" t="str">
        <f>VLOOKUP(Tabla3[[#This Row],[PROVEEDOR]],'SAPROV (2)'!A:B,2,FALSE)</f>
        <v>36</v>
      </c>
      <c r="M654" t="str">
        <f>VLOOKUP(Tabla3[[#This Row],[SERVICIO]],'SAPROV (2)'!I:J,2,FALSE)</f>
        <v>SERV0011</v>
      </c>
      <c r="N654" t="s">
        <v>927</v>
      </c>
      <c r="P654">
        <f>VLOOKUP(Tabla3[[#This Row],[FECHA]],TASA[],2,FALSE)</f>
        <v>330.38</v>
      </c>
      <c r="Q654" s="35">
        <f t="shared" si="92"/>
        <v>-0.9330165264241177</v>
      </c>
      <c r="R654" t="s">
        <v>1268</v>
      </c>
    </row>
    <row r="655" spans="1:18" x14ac:dyDescent="0.25">
      <c r="A655" s="33">
        <v>46035</v>
      </c>
      <c r="B655" s="1">
        <v>720346377</v>
      </c>
      <c r="C655" s="2" t="s">
        <v>1285</v>
      </c>
      <c r="D655" s="34">
        <v>-308.25</v>
      </c>
      <c r="E655" t="s">
        <v>20</v>
      </c>
      <c r="F655" s="2" t="e">
        <f>VLOOKUP(Tabla3[[#This Row],[CONTABLE]],'SAPROV (2)'!L:M,2,FALSE)</f>
        <v>#N/A</v>
      </c>
      <c r="H655" t="s">
        <v>1281</v>
      </c>
      <c r="I655" s="2" t="str">
        <f>VLOOKUP(Tabla3[[#This Row],[Deposito]],'SAPROV (2)'!D:E,2,FALSE)</f>
        <v>07</v>
      </c>
      <c r="K655" s="2" t="s">
        <v>101</v>
      </c>
      <c r="L655" s="2" t="str">
        <f>VLOOKUP(Tabla3[[#This Row],[PROVEEDOR]],'SAPROV (2)'!A:B,2,FALSE)</f>
        <v>36</v>
      </c>
      <c r="M655" t="str">
        <f>VLOOKUP(Tabla3[[#This Row],[SERVICIO]],'SAPROV (2)'!I:J,2,FALSE)</f>
        <v>SERV0011</v>
      </c>
      <c r="N655" t="s">
        <v>927</v>
      </c>
      <c r="P655">
        <f>VLOOKUP(Tabla3[[#This Row],[FECHA]],TASA[],2,FALSE)</f>
        <v>330.38</v>
      </c>
      <c r="Q655" s="35">
        <f t="shared" si="92"/>
        <v>-0.9330165264241177</v>
      </c>
      <c r="R655" t="s">
        <v>1268</v>
      </c>
    </row>
    <row r="656" spans="1:18" x14ac:dyDescent="0.25">
      <c r="A656" s="33">
        <v>46035</v>
      </c>
      <c r="B656" s="1">
        <v>620346375</v>
      </c>
      <c r="C656" s="2" t="s">
        <v>1285</v>
      </c>
      <c r="D656" s="34">
        <v>-308.25</v>
      </c>
      <c r="E656" t="s">
        <v>20</v>
      </c>
      <c r="F656" s="2" t="e">
        <f>VLOOKUP(Tabla3[[#This Row],[CONTABLE]],'SAPROV (2)'!L:M,2,FALSE)</f>
        <v>#N/A</v>
      </c>
      <c r="H656" t="s">
        <v>1281</v>
      </c>
      <c r="I656" s="2" t="str">
        <f>VLOOKUP(Tabla3[[#This Row],[Deposito]],'SAPROV (2)'!D:E,2,FALSE)</f>
        <v>07</v>
      </c>
      <c r="K656" s="2" t="s">
        <v>101</v>
      </c>
      <c r="L656" s="23" t="str">
        <f>VLOOKUP(Tabla3[[#This Row],[PROVEEDOR]],'SAPROV (2)'!A:B,2,FALSE)</f>
        <v>36</v>
      </c>
      <c r="M656" t="str">
        <f>VLOOKUP(Tabla3[[#This Row],[SERVICIO]],'SAPROV (2)'!I:J,2,FALSE)</f>
        <v>SERV0011</v>
      </c>
      <c r="N656" t="s">
        <v>927</v>
      </c>
      <c r="P656">
        <f>VLOOKUP(Tabla3[[#This Row],[FECHA]],TASA[],2,FALSE)</f>
        <v>330.38</v>
      </c>
      <c r="Q656" s="35">
        <f t="shared" ref="Q656:Q678" si="93">D656/P656</f>
        <v>-0.9330165264241177</v>
      </c>
      <c r="R656" t="s">
        <v>1268</v>
      </c>
    </row>
    <row r="657" spans="1:18" x14ac:dyDescent="0.25">
      <c r="A657" s="33">
        <v>46035</v>
      </c>
      <c r="B657" s="1">
        <v>720346378</v>
      </c>
      <c r="C657" s="2" t="s">
        <v>1285</v>
      </c>
      <c r="D657" s="34">
        <v>-308.25</v>
      </c>
      <c r="E657" t="s">
        <v>20</v>
      </c>
      <c r="F657" s="2" t="e">
        <f>VLOOKUP(Tabla3[[#This Row],[CONTABLE]],'SAPROV (2)'!L:M,2,FALSE)</f>
        <v>#N/A</v>
      </c>
      <c r="H657" t="s">
        <v>1281</v>
      </c>
      <c r="I657" s="2" t="str">
        <f>VLOOKUP(Tabla3[[#This Row],[Deposito]],'SAPROV (2)'!D:E,2,FALSE)</f>
        <v>07</v>
      </c>
      <c r="K657" s="2" t="s">
        <v>101</v>
      </c>
      <c r="L657" s="23" t="str">
        <f>VLOOKUP(Tabla3[[#This Row],[PROVEEDOR]],'SAPROV (2)'!A:B,2,FALSE)</f>
        <v>36</v>
      </c>
      <c r="M657" t="str">
        <f>VLOOKUP(Tabla3[[#This Row],[SERVICIO]],'SAPROV (2)'!I:J,2,FALSE)</f>
        <v>SERV0011</v>
      </c>
      <c r="N657" t="s">
        <v>927</v>
      </c>
      <c r="P657">
        <f>VLOOKUP(Tabla3[[#This Row],[FECHA]],TASA[],2,FALSE)</f>
        <v>330.38</v>
      </c>
      <c r="Q657" s="35">
        <f t="shared" si="93"/>
        <v>-0.9330165264241177</v>
      </c>
      <c r="R657" t="s">
        <v>1268</v>
      </c>
    </row>
    <row r="658" spans="1:18" x14ac:dyDescent="0.25">
      <c r="A658" s="33">
        <v>46035</v>
      </c>
      <c r="B658" s="1">
        <v>720346379</v>
      </c>
      <c r="C658" s="2" t="s">
        <v>1285</v>
      </c>
      <c r="D658" s="34">
        <v>-308.25</v>
      </c>
      <c r="E658" t="s">
        <v>20</v>
      </c>
      <c r="F658" s="2" t="e">
        <f>VLOOKUP(Tabla3[[#This Row],[CONTABLE]],'SAPROV (2)'!L:M,2,FALSE)</f>
        <v>#N/A</v>
      </c>
      <c r="H658" t="s">
        <v>1281</v>
      </c>
      <c r="I658" s="2" t="str">
        <f>VLOOKUP(Tabla3[[#This Row],[Deposito]],'SAPROV (2)'!D:E,2,FALSE)</f>
        <v>07</v>
      </c>
      <c r="K658" s="2" t="s">
        <v>101</v>
      </c>
      <c r="L658" s="2" t="str">
        <f>VLOOKUP(Tabla3[[#This Row],[PROVEEDOR]],'SAPROV (2)'!A:B,2,FALSE)</f>
        <v>36</v>
      </c>
      <c r="M658" t="str">
        <f>VLOOKUP(Tabla3[[#This Row],[SERVICIO]],'SAPROV (2)'!I:J,2,FALSE)</f>
        <v>SERV0011</v>
      </c>
      <c r="N658" t="s">
        <v>927</v>
      </c>
      <c r="P658">
        <f>VLOOKUP(Tabla3[[#This Row],[FECHA]],TASA[],2,FALSE)</f>
        <v>330.38</v>
      </c>
      <c r="Q658" s="35">
        <f t="shared" si="93"/>
        <v>-0.9330165264241177</v>
      </c>
      <c r="R658" t="s">
        <v>1268</v>
      </c>
    </row>
    <row r="659" spans="1:18" x14ac:dyDescent="0.25">
      <c r="A659" s="33">
        <v>46035</v>
      </c>
      <c r="B659" s="1">
        <v>720346380</v>
      </c>
      <c r="C659" s="2" t="s">
        <v>1285</v>
      </c>
      <c r="D659" s="34">
        <v>-308.25</v>
      </c>
      <c r="E659" t="s">
        <v>20</v>
      </c>
      <c r="F659" s="2" t="e">
        <f>VLOOKUP(Tabla3[[#This Row],[CONTABLE]],'SAPROV (2)'!L:M,2,FALSE)</f>
        <v>#N/A</v>
      </c>
      <c r="H659" t="s">
        <v>1281</v>
      </c>
      <c r="I659" s="2" t="str">
        <f>VLOOKUP(Tabla3[[#This Row],[Deposito]],'SAPROV (2)'!D:E,2,FALSE)</f>
        <v>07</v>
      </c>
      <c r="K659" s="2" t="s">
        <v>101</v>
      </c>
      <c r="L659" s="23" t="str">
        <f>VLOOKUP(Tabla3[[#This Row],[PROVEEDOR]],'SAPROV (2)'!A:B,2,FALSE)</f>
        <v>36</v>
      </c>
      <c r="M659" t="str">
        <f>VLOOKUP(Tabla3[[#This Row],[SERVICIO]],'SAPROV (2)'!I:J,2,FALSE)</f>
        <v>SERV0011</v>
      </c>
      <c r="N659" t="s">
        <v>927</v>
      </c>
      <c r="P659">
        <f>VLOOKUP(Tabla3[[#This Row],[FECHA]],TASA[],2,FALSE)</f>
        <v>330.38</v>
      </c>
      <c r="Q659" s="35">
        <f t="shared" si="93"/>
        <v>-0.9330165264241177</v>
      </c>
      <c r="R659" t="s">
        <v>1268</v>
      </c>
    </row>
    <row r="660" spans="1:18" x14ac:dyDescent="0.25">
      <c r="A660" s="33">
        <v>46035</v>
      </c>
      <c r="B660" s="1">
        <v>720346382</v>
      </c>
      <c r="C660" s="2" t="s">
        <v>1285</v>
      </c>
      <c r="D660" s="34">
        <v>-308.25</v>
      </c>
      <c r="E660" t="s">
        <v>20</v>
      </c>
      <c r="F660" s="2" t="e">
        <f>VLOOKUP(Tabla3[[#This Row],[CONTABLE]],'SAPROV (2)'!L:M,2,FALSE)</f>
        <v>#N/A</v>
      </c>
      <c r="H660" t="s">
        <v>1281</v>
      </c>
      <c r="I660" s="2" t="str">
        <f>VLOOKUP(Tabla3[[#This Row],[Deposito]],'SAPROV (2)'!D:E,2,FALSE)</f>
        <v>07</v>
      </c>
      <c r="K660" s="2" t="s">
        <v>101</v>
      </c>
      <c r="L660" s="23" t="str">
        <f>VLOOKUP(Tabla3[[#This Row],[PROVEEDOR]],'SAPROV (2)'!A:B,2,FALSE)</f>
        <v>36</v>
      </c>
      <c r="M660" t="str">
        <f>VLOOKUP(Tabla3[[#This Row],[SERVICIO]],'SAPROV (2)'!I:J,2,FALSE)</f>
        <v>SERV0011</v>
      </c>
      <c r="N660" t="s">
        <v>927</v>
      </c>
      <c r="P660">
        <f>VLOOKUP(Tabla3[[#This Row],[FECHA]],TASA[],2,FALSE)</f>
        <v>330.38</v>
      </c>
      <c r="Q660" s="35">
        <f t="shared" si="93"/>
        <v>-0.9330165264241177</v>
      </c>
      <c r="R660" t="s">
        <v>1268</v>
      </c>
    </row>
    <row r="661" spans="1:18" x14ac:dyDescent="0.25">
      <c r="A661" s="33">
        <v>46035</v>
      </c>
      <c r="B661" s="1">
        <v>720346381</v>
      </c>
      <c r="C661" s="2" t="s">
        <v>1466</v>
      </c>
      <c r="D661" s="34">
        <v>-308.25</v>
      </c>
      <c r="E661" t="s">
        <v>20</v>
      </c>
      <c r="F661" s="2" t="e">
        <f>VLOOKUP(Tabla3[[#This Row],[CONTABLE]],'SAPROV (2)'!L:M,2,FALSE)</f>
        <v>#N/A</v>
      </c>
      <c r="H661" t="s">
        <v>1274</v>
      </c>
      <c r="I661" s="2" t="str">
        <f>VLOOKUP(Tabla3[[#This Row],[Deposito]],'SAPROV (2)'!D:E,2,FALSE)</f>
        <v>02</v>
      </c>
      <c r="K661" s="2" t="s">
        <v>101</v>
      </c>
      <c r="L661" s="2" t="str">
        <f>VLOOKUP(Tabla3[[#This Row],[PROVEEDOR]],'SAPROV (2)'!A:B,2,FALSE)</f>
        <v>36</v>
      </c>
      <c r="M661" t="str">
        <f>VLOOKUP(Tabla3[[#This Row],[SERVICIO]],'SAPROV (2)'!I:J,2,FALSE)</f>
        <v>SERV0011</v>
      </c>
      <c r="N661" t="s">
        <v>927</v>
      </c>
      <c r="P661">
        <f>VLOOKUP(Tabla3[[#This Row],[FECHA]],TASA[],2,FALSE)</f>
        <v>330.38</v>
      </c>
      <c r="Q661" s="35">
        <f t="shared" si="93"/>
        <v>-0.9330165264241177</v>
      </c>
      <c r="R661" t="s">
        <v>1268</v>
      </c>
    </row>
    <row r="662" spans="1:18" x14ac:dyDescent="0.25">
      <c r="A662" s="33">
        <v>46035</v>
      </c>
      <c r="B662" s="1">
        <v>720346383</v>
      </c>
      <c r="C662" s="2" t="s">
        <v>1466</v>
      </c>
      <c r="D662" s="34">
        <v>-308.25</v>
      </c>
      <c r="E662" t="s">
        <v>20</v>
      </c>
      <c r="F662" s="2" t="e">
        <f>VLOOKUP(Tabla3[[#This Row],[CONTABLE]],'SAPROV (2)'!L:M,2,FALSE)</f>
        <v>#N/A</v>
      </c>
      <c r="H662" t="s">
        <v>1274</v>
      </c>
      <c r="I662" s="2" t="str">
        <f>VLOOKUP(Tabla3[[#This Row],[Deposito]],'SAPROV (2)'!D:E,2,FALSE)</f>
        <v>02</v>
      </c>
      <c r="K662" s="2" t="s">
        <v>101</v>
      </c>
      <c r="L662" s="23" t="str">
        <f>VLOOKUP(Tabla3[[#This Row],[PROVEEDOR]],'SAPROV (2)'!A:B,2,FALSE)</f>
        <v>36</v>
      </c>
      <c r="M662" t="str">
        <f>VLOOKUP(Tabla3[[#This Row],[SERVICIO]],'SAPROV (2)'!I:J,2,FALSE)</f>
        <v>SERV0011</v>
      </c>
      <c r="N662" t="s">
        <v>927</v>
      </c>
      <c r="P662">
        <f>VLOOKUP(Tabla3[[#This Row],[FECHA]],TASA[],2,FALSE)</f>
        <v>330.38</v>
      </c>
      <c r="Q662" s="35">
        <f t="shared" si="93"/>
        <v>-0.9330165264241177</v>
      </c>
      <c r="R662" t="s">
        <v>1268</v>
      </c>
    </row>
    <row r="663" spans="1:18" x14ac:dyDescent="0.25">
      <c r="A663" s="33">
        <v>46035</v>
      </c>
      <c r="B663" s="1">
        <v>820346386</v>
      </c>
      <c r="C663" s="2" t="s">
        <v>1466</v>
      </c>
      <c r="D663" s="34">
        <v>-308.25</v>
      </c>
      <c r="E663" t="s">
        <v>20</v>
      </c>
      <c r="F663" s="2" t="e">
        <f>VLOOKUP(Tabla3[[#This Row],[CONTABLE]],'SAPROV (2)'!L:M,2,FALSE)</f>
        <v>#N/A</v>
      </c>
      <c r="H663" t="s">
        <v>1274</v>
      </c>
      <c r="I663" s="2" t="str">
        <f>VLOOKUP(Tabla3[[#This Row],[Deposito]],'SAPROV (2)'!D:E,2,FALSE)</f>
        <v>02</v>
      </c>
      <c r="K663" s="2" t="s">
        <v>101</v>
      </c>
      <c r="L663" s="23" t="str">
        <f>VLOOKUP(Tabla3[[#This Row],[PROVEEDOR]],'SAPROV (2)'!A:B,2,FALSE)</f>
        <v>36</v>
      </c>
      <c r="M663" t="str">
        <f>VLOOKUP(Tabla3[[#This Row],[SERVICIO]],'SAPROV (2)'!I:J,2,FALSE)</f>
        <v>SERV0011</v>
      </c>
      <c r="N663" t="s">
        <v>927</v>
      </c>
      <c r="P663">
        <f>VLOOKUP(Tabla3[[#This Row],[FECHA]],TASA[],2,FALSE)</f>
        <v>330.38</v>
      </c>
      <c r="Q663" s="35">
        <f t="shared" si="93"/>
        <v>-0.9330165264241177</v>
      </c>
      <c r="R663" t="s">
        <v>1268</v>
      </c>
    </row>
    <row r="664" spans="1:18" x14ac:dyDescent="0.25">
      <c r="A664" s="33">
        <v>46035</v>
      </c>
      <c r="B664" s="1">
        <v>720346385</v>
      </c>
      <c r="C664" s="2" t="s">
        <v>1466</v>
      </c>
      <c r="D664" s="34">
        <v>-308.25</v>
      </c>
      <c r="E664" t="s">
        <v>20</v>
      </c>
      <c r="F664" s="2" t="e">
        <f>VLOOKUP(Tabla3[[#This Row],[CONTABLE]],'SAPROV (2)'!L:M,2,FALSE)</f>
        <v>#N/A</v>
      </c>
      <c r="H664" t="s">
        <v>1274</v>
      </c>
      <c r="I664" s="2" t="str">
        <f>VLOOKUP(Tabla3[[#This Row],[Deposito]],'SAPROV (2)'!D:E,2,FALSE)</f>
        <v>02</v>
      </c>
      <c r="K664" s="2" t="s">
        <v>101</v>
      </c>
      <c r="L664" s="2" t="str">
        <f>VLOOKUP(Tabla3[[#This Row],[PROVEEDOR]],'SAPROV (2)'!A:B,2,FALSE)</f>
        <v>36</v>
      </c>
      <c r="M664" t="str">
        <f>VLOOKUP(Tabla3[[#This Row],[SERVICIO]],'SAPROV (2)'!I:J,2,FALSE)</f>
        <v>SERV0011</v>
      </c>
      <c r="N664" t="s">
        <v>927</v>
      </c>
      <c r="P664">
        <f>VLOOKUP(Tabla3[[#This Row],[FECHA]],TASA[],2,FALSE)</f>
        <v>330.38</v>
      </c>
      <c r="Q664" s="35">
        <f t="shared" si="93"/>
        <v>-0.9330165264241177</v>
      </c>
      <c r="R664" t="s">
        <v>1268</v>
      </c>
    </row>
    <row r="665" spans="1:18" x14ac:dyDescent="0.25">
      <c r="A665" s="33">
        <v>46035</v>
      </c>
      <c r="B665" s="1">
        <v>820346387</v>
      </c>
      <c r="C665" s="2" t="s">
        <v>1466</v>
      </c>
      <c r="D665" s="34">
        <v>-308.25</v>
      </c>
      <c r="E665" t="s">
        <v>20</v>
      </c>
      <c r="F665" s="2" t="e">
        <f>VLOOKUP(Tabla3[[#This Row],[CONTABLE]],'SAPROV (2)'!L:M,2,FALSE)</f>
        <v>#N/A</v>
      </c>
      <c r="H665" t="s">
        <v>1274</v>
      </c>
      <c r="I665" s="2" t="str">
        <f>VLOOKUP(Tabla3[[#This Row],[Deposito]],'SAPROV (2)'!D:E,2,FALSE)</f>
        <v>02</v>
      </c>
      <c r="K665" s="2" t="s">
        <v>101</v>
      </c>
      <c r="L665" s="23" t="str">
        <f>VLOOKUP(Tabla3[[#This Row],[PROVEEDOR]],'SAPROV (2)'!A:B,2,FALSE)</f>
        <v>36</v>
      </c>
      <c r="M665" t="str">
        <f>VLOOKUP(Tabla3[[#This Row],[SERVICIO]],'SAPROV (2)'!I:J,2,FALSE)</f>
        <v>SERV0011</v>
      </c>
      <c r="N665" t="s">
        <v>927</v>
      </c>
      <c r="P665">
        <f>VLOOKUP(Tabla3[[#This Row],[FECHA]],TASA[],2,FALSE)</f>
        <v>330.38</v>
      </c>
      <c r="Q665" s="35">
        <f t="shared" si="93"/>
        <v>-0.9330165264241177</v>
      </c>
      <c r="R665" t="s">
        <v>1268</v>
      </c>
    </row>
    <row r="666" spans="1:18" x14ac:dyDescent="0.25">
      <c r="A666" s="33">
        <v>46035</v>
      </c>
      <c r="B666" s="1">
        <v>720346384</v>
      </c>
      <c r="C666" s="2" t="s">
        <v>1466</v>
      </c>
      <c r="D666" s="34">
        <v>-308.25</v>
      </c>
      <c r="E666" t="s">
        <v>20</v>
      </c>
      <c r="F666" s="2" t="e">
        <f>VLOOKUP(Tabla3[[#This Row],[CONTABLE]],'SAPROV (2)'!L:M,2,FALSE)</f>
        <v>#N/A</v>
      </c>
      <c r="H666" t="s">
        <v>1274</v>
      </c>
      <c r="I666" s="2" t="str">
        <f>VLOOKUP(Tabla3[[#This Row],[Deposito]],'SAPROV (2)'!D:E,2,FALSE)</f>
        <v>02</v>
      </c>
      <c r="K666" s="2" t="s">
        <v>101</v>
      </c>
      <c r="L666" s="23" t="str">
        <f>VLOOKUP(Tabla3[[#This Row],[PROVEEDOR]],'SAPROV (2)'!A:B,2,FALSE)</f>
        <v>36</v>
      </c>
      <c r="M666" t="str">
        <f>VLOOKUP(Tabla3[[#This Row],[SERVICIO]],'SAPROV (2)'!I:J,2,FALSE)</f>
        <v>SERV0011</v>
      </c>
      <c r="N666" t="s">
        <v>927</v>
      </c>
      <c r="P666">
        <f>VLOOKUP(Tabla3[[#This Row],[FECHA]],TASA[],2,FALSE)</f>
        <v>330.38</v>
      </c>
      <c r="Q666" s="35">
        <f t="shared" si="93"/>
        <v>-0.9330165264241177</v>
      </c>
      <c r="R666" t="s">
        <v>1268</v>
      </c>
    </row>
    <row r="667" spans="1:18" x14ac:dyDescent="0.25">
      <c r="A667" s="33">
        <v>46035</v>
      </c>
      <c r="B667" s="1">
        <v>820346388</v>
      </c>
      <c r="C667" s="2" t="s">
        <v>1466</v>
      </c>
      <c r="D667" s="34">
        <v>-308.25</v>
      </c>
      <c r="E667" t="s">
        <v>20</v>
      </c>
      <c r="F667" s="2" t="e">
        <f>VLOOKUP(Tabla3[[#This Row],[CONTABLE]],'SAPROV (2)'!L:M,2,FALSE)</f>
        <v>#N/A</v>
      </c>
      <c r="H667" t="s">
        <v>1274</v>
      </c>
      <c r="I667" s="2" t="str">
        <f>VLOOKUP(Tabla3[[#This Row],[Deposito]],'SAPROV (2)'!D:E,2,FALSE)</f>
        <v>02</v>
      </c>
      <c r="K667" s="2" t="s">
        <v>101</v>
      </c>
      <c r="L667" s="2" t="str">
        <f>VLOOKUP(Tabla3[[#This Row],[PROVEEDOR]],'SAPROV (2)'!A:B,2,FALSE)</f>
        <v>36</v>
      </c>
      <c r="M667" t="str">
        <f>VLOOKUP(Tabla3[[#This Row],[SERVICIO]],'SAPROV (2)'!I:J,2,FALSE)</f>
        <v>SERV0011</v>
      </c>
      <c r="N667" t="s">
        <v>927</v>
      </c>
      <c r="P667">
        <f>VLOOKUP(Tabla3[[#This Row],[FECHA]],TASA[],2,FALSE)</f>
        <v>330.38</v>
      </c>
      <c r="Q667" s="35">
        <f t="shared" si="93"/>
        <v>-0.9330165264241177</v>
      </c>
      <c r="R667" t="s">
        <v>1268</v>
      </c>
    </row>
    <row r="668" spans="1:18" x14ac:dyDescent="0.25">
      <c r="A668" s="33">
        <v>46035</v>
      </c>
      <c r="B668" s="1">
        <v>820346389</v>
      </c>
      <c r="C668" s="2" t="s">
        <v>1467</v>
      </c>
      <c r="D668" s="34">
        <v>-308.25</v>
      </c>
      <c r="E668" t="s">
        <v>20</v>
      </c>
      <c r="F668" s="2" t="e">
        <f>VLOOKUP(Tabla3[[#This Row],[CONTABLE]],'SAPROV (2)'!L:M,2,FALSE)</f>
        <v>#N/A</v>
      </c>
      <c r="H668" t="s">
        <v>1280</v>
      </c>
      <c r="I668" s="2" t="str">
        <f>VLOOKUP(Tabla3[[#This Row],[Deposito]],'SAPROV (2)'!D:E,2,FALSE)</f>
        <v>01</v>
      </c>
      <c r="K668" s="2" t="s">
        <v>101</v>
      </c>
      <c r="L668" s="23" t="str">
        <f>VLOOKUP(Tabla3[[#This Row],[PROVEEDOR]],'SAPROV (2)'!A:B,2,FALSE)</f>
        <v>36</v>
      </c>
      <c r="M668" t="str">
        <f>VLOOKUP(Tabla3[[#This Row],[SERVICIO]],'SAPROV (2)'!I:J,2,FALSE)</f>
        <v>SERV0011</v>
      </c>
      <c r="N668" t="s">
        <v>927</v>
      </c>
      <c r="P668">
        <f>VLOOKUP(Tabla3[[#This Row],[FECHA]],TASA[],2,FALSE)</f>
        <v>330.38</v>
      </c>
      <c r="Q668" s="35">
        <f t="shared" si="93"/>
        <v>-0.9330165264241177</v>
      </c>
      <c r="R668" t="s">
        <v>1268</v>
      </c>
    </row>
    <row r="669" spans="1:18" x14ac:dyDescent="0.25">
      <c r="A669" s="33">
        <v>46035</v>
      </c>
      <c r="B669" s="1">
        <v>820346390</v>
      </c>
      <c r="C669" s="2" t="s">
        <v>1467</v>
      </c>
      <c r="D669" s="34">
        <v>-308.25</v>
      </c>
      <c r="E669" t="s">
        <v>20</v>
      </c>
      <c r="F669" s="2" t="e">
        <f>VLOOKUP(Tabla3[[#This Row],[CONTABLE]],'SAPROV (2)'!L:M,2,FALSE)</f>
        <v>#N/A</v>
      </c>
      <c r="H669" t="s">
        <v>1280</v>
      </c>
      <c r="I669" s="2" t="str">
        <f>VLOOKUP(Tabla3[[#This Row],[Deposito]],'SAPROV (2)'!D:E,2,FALSE)</f>
        <v>01</v>
      </c>
      <c r="K669" s="2" t="s">
        <v>101</v>
      </c>
      <c r="L669" s="23" t="str">
        <f>VLOOKUP(Tabla3[[#This Row],[PROVEEDOR]],'SAPROV (2)'!A:B,2,FALSE)</f>
        <v>36</v>
      </c>
      <c r="M669" t="str">
        <f>VLOOKUP(Tabla3[[#This Row],[SERVICIO]],'SAPROV (2)'!I:J,2,FALSE)</f>
        <v>SERV0011</v>
      </c>
      <c r="N669" t="s">
        <v>927</v>
      </c>
      <c r="P669">
        <f>VLOOKUP(Tabla3[[#This Row],[FECHA]],TASA[],2,FALSE)</f>
        <v>330.38</v>
      </c>
      <c r="Q669" s="35">
        <f t="shared" si="93"/>
        <v>-0.9330165264241177</v>
      </c>
      <c r="R669" t="s">
        <v>1268</v>
      </c>
    </row>
    <row r="670" spans="1:18" x14ac:dyDescent="0.25">
      <c r="A670" s="33">
        <v>46035</v>
      </c>
      <c r="B670" s="1">
        <v>820346391</v>
      </c>
      <c r="C670" s="2" t="s">
        <v>1467</v>
      </c>
      <c r="D670" s="34">
        <v>-308.25</v>
      </c>
      <c r="E670" t="s">
        <v>20</v>
      </c>
      <c r="F670" s="2" t="e">
        <f>VLOOKUP(Tabla3[[#This Row],[CONTABLE]],'SAPROV (2)'!L:M,2,FALSE)</f>
        <v>#N/A</v>
      </c>
      <c r="H670" t="s">
        <v>1280</v>
      </c>
      <c r="I670" s="2" t="str">
        <f>VLOOKUP(Tabla3[[#This Row],[Deposito]],'SAPROV (2)'!D:E,2,FALSE)</f>
        <v>01</v>
      </c>
      <c r="K670" s="2" t="s">
        <v>101</v>
      </c>
      <c r="L670" s="2" t="str">
        <f>VLOOKUP(Tabla3[[#This Row],[PROVEEDOR]],'SAPROV (2)'!A:B,2,FALSE)</f>
        <v>36</v>
      </c>
      <c r="M670" t="str">
        <f>VLOOKUP(Tabla3[[#This Row],[SERVICIO]],'SAPROV (2)'!I:J,2,FALSE)</f>
        <v>SERV0011</v>
      </c>
      <c r="N670" t="s">
        <v>927</v>
      </c>
      <c r="P670">
        <f>VLOOKUP(Tabla3[[#This Row],[FECHA]],TASA[],2,FALSE)</f>
        <v>330.38</v>
      </c>
      <c r="Q670" s="35">
        <f t="shared" si="93"/>
        <v>-0.9330165264241177</v>
      </c>
      <c r="R670" t="s">
        <v>1268</v>
      </c>
    </row>
    <row r="671" spans="1:18" x14ac:dyDescent="0.25">
      <c r="A671" s="33">
        <v>46035</v>
      </c>
      <c r="B671" s="1">
        <v>920346395</v>
      </c>
      <c r="C671" s="2" t="s">
        <v>1467</v>
      </c>
      <c r="D671" s="34">
        <v>-7.95</v>
      </c>
      <c r="E671" t="s">
        <v>20</v>
      </c>
      <c r="F671" s="2" t="e">
        <f>VLOOKUP(Tabla3[[#This Row],[CONTABLE]],'SAPROV (2)'!L:M,2,FALSE)</f>
        <v>#N/A</v>
      </c>
      <c r="H671" t="s">
        <v>1280</v>
      </c>
      <c r="I671" s="2" t="str">
        <f>VLOOKUP(Tabla3[[#This Row],[Deposito]],'SAPROV (2)'!D:E,2,FALSE)</f>
        <v>01</v>
      </c>
      <c r="K671" s="2" t="s">
        <v>101</v>
      </c>
      <c r="L671" s="23" t="str">
        <f>VLOOKUP(Tabla3[[#This Row],[PROVEEDOR]],'SAPROV (2)'!A:B,2,FALSE)</f>
        <v>36</v>
      </c>
      <c r="M671" t="str">
        <f>VLOOKUP(Tabla3[[#This Row],[SERVICIO]],'SAPROV (2)'!I:J,2,FALSE)</f>
        <v>SERV0011</v>
      </c>
      <c r="N671" t="s">
        <v>927</v>
      </c>
      <c r="P671">
        <f>VLOOKUP(Tabla3[[#This Row],[FECHA]],TASA[],2,FALSE)</f>
        <v>330.38</v>
      </c>
      <c r="Q671" s="35">
        <f t="shared" si="93"/>
        <v>-2.406319995157092E-2</v>
      </c>
      <c r="R671" t="s">
        <v>1268</v>
      </c>
    </row>
    <row r="672" spans="1:18" x14ac:dyDescent="0.25">
      <c r="A672" s="33">
        <v>46035</v>
      </c>
      <c r="B672" s="1">
        <v>920346392</v>
      </c>
      <c r="C672" s="2" t="s">
        <v>1467</v>
      </c>
      <c r="D672" s="34">
        <v>-308.25</v>
      </c>
      <c r="E672" t="s">
        <v>20</v>
      </c>
      <c r="F672" s="2" t="e">
        <f>VLOOKUP(Tabla3[[#This Row],[CONTABLE]],'SAPROV (2)'!L:M,2,FALSE)</f>
        <v>#N/A</v>
      </c>
      <c r="H672" t="s">
        <v>1280</v>
      </c>
      <c r="I672" s="2" t="str">
        <f>VLOOKUP(Tabla3[[#This Row],[Deposito]],'SAPROV (2)'!D:E,2,FALSE)</f>
        <v>01</v>
      </c>
      <c r="K672" s="2" t="s">
        <v>101</v>
      </c>
      <c r="L672" s="23" t="str">
        <f>VLOOKUP(Tabla3[[#This Row],[PROVEEDOR]],'SAPROV (2)'!A:B,2,FALSE)</f>
        <v>36</v>
      </c>
      <c r="M672" t="str">
        <f>VLOOKUP(Tabla3[[#This Row],[SERVICIO]],'SAPROV (2)'!I:J,2,FALSE)</f>
        <v>SERV0011</v>
      </c>
      <c r="N672" t="s">
        <v>927</v>
      </c>
      <c r="P672">
        <f>VLOOKUP(Tabla3[[#This Row],[FECHA]],TASA[],2,FALSE)</f>
        <v>330.38</v>
      </c>
      <c r="Q672" s="35">
        <f t="shared" si="93"/>
        <v>-0.9330165264241177</v>
      </c>
      <c r="R672" t="s">
        <v>1268</v>
      </c>
    </row>
    <row r="673" spans="1:18" x14ac:dyDescent="0.25">
      <c r="A673" s="33">
        <v>46035</v>
      </c>
      <c r="B673" s="1">
        <v>920346396</v>
      </c>
      <c r="C673" s="2" t="s">
        <v>1468</v>
      </c>
      <c r="D673" s="34">
        <v>-308.25</v>
      </c>
      <c r="E673" t="s">
        <v>20</v>
      </c>
      <c r="F673" s="2" t="e">
        <f>VLOOKUP(Tabla3[[#This Row],[CONTABLE]],'SAPROV (2)'!L:M,2,FALSE)</f>
        <v>#N/A</v>
      </c>
      <c r="H673" t="s">
        <v>1280</v>
      </c>
      <c r="I673" s="2" t="str">
        <f>VLOOKUP(Tabla3[[#This Row],[Deposito]],'SAPROV (2)'!D:E,2,FALSE)</f>
        <v>01</v>
      </c>
      <c r="K673" s="2" t="s">
        <v>101</v>
      </c>
      <c r="L673" s="2" t="str">
        <f>VLOOKUP(Tabla3[[#This Row],[PROVEEDOR]],'SAPROV (2)'!A:B,2,FALSE)</f>
        <v>36</v>
      </c>
      <c r="M673" t="str">
        <f>VLOOKUP(Tabla3[[#This Row],[SERVICIO]],'SAPROV (2)'!I:J,2,FALSE)</f>
        <v>SERV0011</v>
      </c>
      <c r="N673" t="s">
        <v>927</v>
      </c>
      <c r="P673">
        <f>VLOOKUP(Tabla3[[#This Row],[FECHA]],TASA[],2,FALSE)</f>
        <v>330.38</v>
      </c>
      <c r="Q673" s="35">
        <f t="shared" si="93"/>
        <v>-0.9330165264241177</v>
      </c>
      <c r="R673" t="s">
        <v>1268</v>
      </c>
    </row>
    <row r="674" spans="1:18" x14ac:dyDescent="0.25">
      <c r="A674" s="33">
        <v>46035</v>
      </c>
      <c r="B674" s="1">
        <v>920346397</v>
      </c>
      <c r="C674" s="2" t="s">
        <v>1467</v>
      </c>
      <c r="D674" s="34">
        <v>-308.25</v>
      </c>
      <c r="E674" t="s">
        <v>20</v>
      </c>
      <c r="F674" s="2" t="e">
        <f>VLOOKUP(Tabla3[[#This Row],[CONTABLE]],'SAPROV (2)'!L:M,2,FALSE)</f>
        <v>#N/A</v>
      </c>
      <c r="H674" t="s">
        <v>1280</v>
      </c>
      <c r="I674" s="2" t="str">
        <f>VLOOKUP(Tabla3[[#This Row],[Deposito]],'SAPROV (2)'!D:E,2,FALSE)</f>
        <v>01</v>
      </c>
      <c r="K674" s="2" t="s">
        <v>101</v>
      </c>
      <c r="L674" s="23" t="str">
        <f>VLOOKUP(Tabla3[[#This Row],[PROVEEDOR]],'SAPROV (2)'!A:B,2,FALSE)</f>
        <v>36</v>
      </c>
      <c r="M674" t="str">
        <f>VLOOKUP(Tabla3[[#This Row],[SERVICIO]],'SAPROV (2)'!I:J,2,FALSE)</f>
        <v>SERV0011</v>
      </c>
      <c r="N674" t="s">
        <v>927</v>
      </c>
      <c r="P674">
        <f>VLOOKUP(Tabla3[[#This Row],[FECHA]],TASA[],2,FALSE)</f>
        <v>330.38</v>
      </c>
      <c r="Q674" s="35">
        <f t="shared" si="93"/>
        <v>-0.9330165264241177</v>
      </c>
      <c r="R674" t="s">
        <v>1268</v>
      </c>
    </row>
    <row r="675" spans="1:18" x14ac:dyDescent="0.25">
      <c r="A675" s="33">
        <v>46035</v>
      </c>
      <c r="B675" s="1">
        <v>920346394</v>
      </c>
      <c r="C675" s="2" t="s">
        <v>1467</v>
      </c>
      <c r="D675" s="34">
        <v>-308.25</v>
      </c>
      <c r="E675" t="s">
        <v>20</v>
      </c>
      <c r="F675" s="2" t="e">
        <f>VLOOKUP(Tabla3[[#This Row],[CONTABLE]],'SAPROV (2)'!L:M,2,FALSE)</f>
        <v>#N/A</v>
      </c>
      <c r="H675" t="s">
        <v>1280</v>
      </c>
      <c r="I675" s="2" t="str">
        <f>VLOOKUP(Tabla3[[#This Row],[Deposito]],'SAPROV (2)'!D:E,2,FALSE)</f>
        <v>01</v>
      </c>
      <c r="K675" s="2" t="s">
        <v>101</v>
      </c>
      <c r="L675" s="23" t="str">
        <f>VLOOKUP(Tabla3[[#This Row],[PROVEEDOR]],'SAPROV (2)'!A:B,2,FALSE)</f>
        <v>36</v>
      </c>
      <c r="M675" t="str">
        <f>VLOOKUP(Tabla3[[#This Row],[SERVICIO]],'SAPROV (2)'!I:J,2,FALSE)</f>
        <v>SERV0011</v>
      </c>
      <c r="N675" t="s">
        <v>927</v>
      </c>
      <c r="P675">
        <f>VLOOKUP(Tabla3[[#This Row],[FECHA]],TASA[],2,FALSE)</f>
        <v>330.38</v>
      </c>
      <c r="Q675" s="35">
        <f t="shared" si="93"/>
        <v>-0.9330165264241177</v>
      </c>
      <c r="R675" t="s">
        <v>1268</v>
      </c>
    </row>
    <row r="676" spans="1:18" x14ac:dyDescent="0.25">
      <c r="A676" s="33">
        <v>46035</v>
      </c>
      <c r="B676" s="1">
        <v>60196048</v>
      </c>
      <c r="C676" s="2" t="s">
        <v>1469</v>
      </c>
      <c r="D676" s="34">
        <v>-40262.1</v>
      </c>
      <c r="E676" t="s">
        <v>20</v>
      </c>
      <c r="F676" s="2" t="e">
        <f>VLOOKUP(Tabla3[[#This Row],[CONTABLE]],'SAPROV (2)'!L:M,2,FALSE)</f>
        <v>#N/A</v>
      </c>
      <c r="H676" t="s">
        <v>1280</v>
      </c>
      <c r="I676" s="2" t="str">
        <f>VLOOKUP(Tabla3[[#This Row],[Deposito]],'SAPROV (2)'!D:E,2,FALSE)</f>
        <v>01</v>
      </c>
      <c r="K676" s="2" t="s">
        <v>101</v>
      </c>
      <c r="L676" s="2" t="str">
        <f>VLOOKUP(Tabla3[[#This Row],[PROVEEDOR]],'SAPROV (2)'!A:B,2,FALSE)</f>
        <v>36</v>
      </c>
      <c r="M676" t="str">
        <f>VLOOKUP(Tabla3[[#This Row],[SERVICIO]],'SAPROV (2)'!I:J,2,FALSE)</f>
        <v>SERV0011</v>
      </c>
      <c r="N676" t="s">
        <v>927</v>
      </c>
      <c r="P676">
        <f>VLOOKUP(Tabla3[[#This Row],[FECHA]],TASA[],2,FALSE)</f>
        <v>330.38</v>
      </c>
      <c r="Q676" s="35">
        <f t="shared" si="93"/>
        <v>-121.86603305284824</v>
      </c>
      <c r="R676" t="s">
        <v>1268</v>
      </c>
    </row>
    <row r="677" spans="1:18" x14ac:dyDescent="0.25">
      <c r="A677" s="33">
        <v>46035</v>
      </c>
      <c r="B677" s="1">
        <v>60196048</v>
      </c>
      <c r="C677" s="36" t="s">
        <v>1257</v>
      </c>
      <c r="D677" s="34">
        <v>-60.39</v>
      </c>
      <c r="E677" t="s">
        <v>20</v>
      </c>
      <c r="F677" s="2" t="e">
        <f>VLOOKUP(Tabla3[[#This Row],[CONTABLE]],'SAPROV (2)'!L:M,2,FALSE)</f>
        <v>#N/A</v>
      </c>
      <c r="H677" t="s">
        <v>588</v>
      </c>
      <c r="I677" s="2" t="str">
        <f>VLOOKUP(Tabla3[[#This Row],[Deposito]],'SAPROV (2)'!D:E,2,FALSE)</f>
        <v>A01</v>
      </c>
      <c r="K677" s="23" t="s">
        <v>23</v>
      </c>
      <c r="L677" s="23" t="str">
        <f>VLOOKUP(Tabla3[[#This Row],[PROVEEDOR]],'SAPROV (2)'!A:B,2,FALSE)</f>
        <v>04</v>
      </c>
      <c r="M677" t="str">
        <f>VLOOKUP(Tabla3[[#This Row],[SERVICIO]],'SAPROV (2)'!I:J,2,FALSE)</f>
        <v>SERV0060</v>
      </c>
      <c r="N677" t="s">
        <v>611</v>
      </c>
      <c r="P677">
        <f>VLOOKUP(Tabla3[[#This Row],[FECHA]],TASA[],2,FALSE)</f>
        <v>330.38</v>
      </c>
      <c r="Q677" s="35">
        <f t="shared" si="93"/>
        <v>-0.18278951510381986</v>
      </c>
      <c r="R677" t="s">
        <v>1268</v>
      </c>
    </row>
    <row r="678" spans="1:18" x14ac:dyDescent="0.25">
      <c r="A678" s="33">
        <v>46035</v>
      </c>
      <c r="B678" s="1">
        <v>60196048</v>
      </c>
      <c r="C678" s="37" t="s">
        <v>1254</v>
      </c>
      <c r="D678" s="34">
        <v>-2066.75</v>
      </c>
      <c r="E678" t="s">
        <v>20</v>
      </c>
      <c r="F678" s="2" t="e">
        <f>VLOOKUP(Tabla3[[#This Row],[CONTABLE]],'SAPROV (2)'!L:M,2,FALSE)</f>
        <v>#N/A</v>
      </c>
      <c r="H678" t="s">
        <v>588</v>
      </c>
      <c r="I678" s="2" t="str">
        <f>VLOOKUP(Tabla3[[#This Row],[Deposito]],'SAPROV (2)'!D:E,2,FALSE)</f>
        <v>A01</v>
      </c>
      <c r="K678" s="23" t="s">
        <v>23</v>
      </c>
      <c r="L678" s="23" t="str">
        <f>VLOOKUP(Tabla3[[#This Row],[PROVEEDOR]],'SAPROV (2)'!A:B,2,FALSE)</f>
        <v>04</v>
      </c>
      <c r="M678" t="str">
        <f>VLOOKUP(Tabla3[[#This Row],[SERVICIO]],'SAPROV (2)'!I:J,2,FALSE)</f>
        <v>SERV0060</v>
      </c>
      <c r="N678" t="s">
        <v>611</v>
      </c>
      <c r="P678">
        <f>VLOOKUP(Tabla3[[#This Row],[FECHA]],TASA[],2,FALSE)</f>
        <v>330.38</v>
      </c>
      <c r="Q678" s="35">
        <f t="shared" si="93"/>
        <v>-6.255675283007446</v>
      </c>
      <c r="R678" t="s">
        <v>1268</v>
      </c>
    </row>
    <row r="679" spans="1:18" x14ac:dyDescent="0.25">
      <c r="A679" s="33">
        <v>46037</v>
      </c>
      <c r="B679" s="1">
        <v>959446731</v>
      </c>
      <c r="C679" s="36" t="s">
        <v>1258</v>
      </c>
      <c r="D679" s="34">
        <v>-579.95000000000005</v>
      </c>
      <c r="E679" t="s">
        <v>20</v>
      </c>
      <c r="F679" s="2" t="e">
        <f>VLOOKUP(Tabla3[[#This Row],[CONTABLE]],'SAPROV (2)'!L:M,2,FALSE)</f>
        <v>#N/A</v>
      </c>
      <c r="H679" t="s">
        <v>588</v>
      </c>
      <c r="I679" s="2" t="str">
        <f>VLOOKUP(Tabla3[[#This Row],[Deposito]],'SAPROV (2)'!D:E,2,FALSE)</f>
        <v>A01</v>
      </c>
      <c r="K679" s="23" t="s">
        <v>23</v>
      </c>
      <c r="L679" s="2" t="str">
        <f>VLOOKUP(Tabla3[[#This Row],[PROVEEDOR]],'SAPROV (2)'!A:B,2,FALSE)</f>
        <v>04</v>
      </c>
      <c r="M679" t="str">
        <f>VLOOKUP(Tabla3[[#This Row],[SERVICIO]],'SAPROV (2)'!I:J,2,FALSE)</f>
        <v>SERV0060</v>
      </c>
      <c r="N679" t="s">
        <v>611</v>
      </c>
      <c r="P679">
        <f>VLOOKUP(Tabla3[[#This Row],[FECHA]],TASA[],2,FALSE)</f>
        <v>339.15</v>
      </c>
      <c r="Q679" s="35">
        <f>D679/P679</f>
        <v>-1.710010319917441</v>
      </c>
      <c r="R679" t="s">
        <v>1268</v>
      </c>
    </row>
    <row r="680" spans="1:18" x14ac:dyDescent="0.25">
      <c r="A680" s="33">
        <v>46037</v>
      </c>
      <c r="B680" s="1">
        <v>60145655</v>
      </c>
      <c r="C680" s="2" t="s">
        <v>1254</v>
      </c>
      <c r="D680" s="34">
        <v>-810.18</v>
      </c>
      <c r="E680" t="s">
        <v>20</v>
      </c>
      <c r="F680" s="2" t="e">
        <f>VLOOKUP(Tabla3[[#This Row],[CONTABLE]],'SAPROV (2)'!L:M,2,FALSE)</f>
        <v>#N/A</v>
      </c>
      <c r="H680" t="s">
        <v>588</v>
      </c>
      <c r="I680" s="2" t="str">
        <f>VLOOKUP(Tabla3[[#This Row],[Deposito]],'SAPROV (2)'!D:E,2,FALSE)</f>
        <v>A01</v>
      </c>
      <c r="K680" s="23" t="s">
        <v>23</v>
      </c>
      <c r="L680" s="23" t="str">
        <f>VLOOKUP(Tabla3[[#This Row],[PROVEEDOR]],'SAPROV (2)'!A:B,2,FALSE)</f>
        <v>04</v>
      </c>
      <c r="M680" t="str">
        <f>VLOOKUP(Tabla3[[#This Row],[SERVICIO]],'SAPROV (2)'!I:J,2,FALSE)</f>
        <v>SERV0060</v>
      </c>
      <c r="N680" t="s">
        <v>611</v>
      </c>
      <c r="P680">
        <f>VLOOKUP(Tabla3[[#This Row],[FECHA]],TASA[],2,FALSE)</f>
        <v>339.15</v>
      </c>
      <c r="Q680" s="35">
        <f>D680/P680</f>
        <v>-2.3888544891640868</v>
      </c>
      <c r="R680" t="s">
        <v>1268</v>
      </c>
    </row>
    <row r="681" spans="1:18" x14ac:dyDescent="0.25">
      <c r="A681" s="33">
        <v>46037</v>
      </c>
      <c r="B681" s="1">
        <v>60113523</v>
      </c>
      <c r="C681" s="2" t="s">
        <v>1254</v>
      </c>
      <c r="D681" s="34">
        <v>-4137.6000000000004</v>
      </c>
      <c r="E681" t="s">
        <v>20</v>
      </c>
      <c r="F681" s="2" t="e">
        <f>VLOOKUP(Tabla3[[#This Row],[CONTABLE]],'SAPROV (2)'!L:M,2,FALSE)</f>
        <v>#N/A</v>
      </c>
      <c r="H681" t="s">
        <v>588</v>
      </c>
      <c r="I681" s="2" t="str">
        <f>VLOOKUP(Tabla3[[#This Row],[Deposito]],'SAPROV (2)'!D:E,2,FALSE)</f>
        <v>A01</v>
      </c>
      <c r="K681" s="23" t="s">
        <v>23</v>
      </c>
      <c r="L681" s="23" t="str">
        <f>VLOOKUP(Tabla3[[#This Row],[PROVEEDOR]],'SAPROV (2)'!A:B,2,FALSE)</f>
        <v>04</v>
      </c>
      <c r="M681" t="str">
        <f>VLOOKUP(Tabla3[[#This Row],[SERVICIO]],'SAPROV (2)'!I:J,2,FALSE)</f>
        <v>SERV0060</v>
      </c>
      <c r="N681" t="s">
        <v>611</v>
      </c>
      <c r="P681">
        <f>VLOOKUP(Tabla3[[#This Row],[FECHA]],TASA[],2,FALSE)</f>
        <v>339.15</v>
      </c>
      <c r="Q681" s="35">
        <f>D681/P681</f>
        <v>-12.199911543564797</v>
      </c>
      <c r="R681" t="s">
        <v>1268</v>
      </c>
    </row>
    <row r="682" spans="1:18" x14ac:dyDescent="0.25">
      <c r="A682" s="33">
        <v>46042</v>
      </c>
      <c r="B682" s="1">
        <v>60196735</v>
      </c>
      <c r="C682" s="2" t="s">
        <v>1254</v>
      </c>
      <c r="D682" s="34">
        <v>-793.66</v>
      </c>
      <c r="E682" t="s">
        <v>20</v>
      </c>
      <c r="F682" s="2" t="e">
        <f>VLOOKUP(Tabla3[[#This Row],[CONTABLE]],'SAPROV (2)'!L:M,2,FALSE)</f>
        <v>#N/A</v>
      </c>
      <c r="H682" t="s">
        <v>588</v>
      </c>
      <c r="I682" s="2" t="str">
        <f>VLOOKUP(Tabla3[[#This Row],[Deposito]],'SAPROV (2)'!D:E,2,FALSE)</f>
        <v>A01</v>
      </c>
      <c r="K682" s="23" t="s">
        <v>23</v>
      </c>
      <c r="L682" s="2" t="str">
        <f>VLOOKUP(Tabla3[[#This Row],[PROVEEDOR]],'SAPROV (2)'!A:B,2,FALSE)</f>
        <v>04</v>
      </c>
      <c r="M682" t="str">
        <f>VLOOKUP(Tabla3[[#This Row],[SERVICIO]],'SAPROV (2)'!I:J,2,FALSE)</f>
        <v>SERV0060</v>
      </c>
      <c r="N682" t="s">
        <v>611</v>
      </c>
      <c r="P682">
        <f>VLOOKUP(Tabla3[[#This Row],[FECHA]],TASA[],2,FALSE)</f>
        <v>344.51</v>
      </c>
      <c r="Q682" s="35">
        <f t="shared" ref="Q682:Q683" si="94">D682/P682</f>
        <v>-2.3037357406171082</v>
      </c>
      <c r="R682" t="s">
        <v>1268</v>
      </c>
    </row>
    <row r="683" spans="1:18" x14ac:dyDescent="0.25">
      <c r="A683" s="33">
        <v>46042</v>
      </c>
      <c r="C683" s="2" t="s">
        <v>1259</v>
      </c>
      <c r="D683" s="34">
        <v>-550120.25</v>
      </c>
      <c r="E683" t="s">
        <v>20</v>
      </c>
      <c r="F683" s="2" t="e">
        <f>VLOOKUP(Tabla3[[#This Row],[CONTABLE]],'SAPROV (2)'!L:M,2,FALSE)</f>
        <v>#N/A</v>
      </c>
      <c r="H683" t="s">
        <v>588</v>
      </c>
      <c r="I683" s="2" t="str">
        <f>VLOOKUP(Tabla3[[#This Row],[Deposito]],'SAPROV (2)'!D:E,2,FALSE)</f>
        <v>A01</v>
      </c>
      <c r="K683" s="23" t="s">
        <v>23</v>
      </c>
      <c r="L683" s="23" t="str">
        <f>VLOOKUP(Tabla3[[#This Row],[PROVEEDOR]],'SAPROV (2)'!A:B,2,FALSE)</f>
        <v>04</v>
      </c>
      <c r="M683" t="str">
        <f>VLOOKUP(Tabla3[[#This Row],[SERVICIO]],'SAPROV (2)'!I:J,2,FALSE)</f>
        <v>SERV0060</v>
      </c>
      <c r="N683" t="s">
        <v>611</v>
      </c>
      <c r="P683">
        <f>VLOOKUP(Tabla3[[#This Row],[FECHA]],TASA[],2,FALSE)</f>
        <v>344.51</v>
      </c>
      <c r="Q683" s="35">
        <f t="shared" si="94"/>
        <v>-1596.8193956634061</v>
      </c>
      <c r="R683" t="s">
        <v>1268</v>
      </c>
    </row>
    <row r="684" spans="1:18" x14ac:dyDescent="0.25">
      <c r="A684" s="33">
        <v>46042</v>
      </c>
      <c r="B684" s="1">
        <v>727310203</v>
      </c>
      <c r="C684" s="2" t="s">
        <v>1258</v>
      </c>
      <c r="D684" s="34">
        <v>-232.54</v>
      </c>
      <c r="E684" t="s">
        <v>20</v>
      </c>
      <c r="F684" s="2" t="e">
        <f>VLOOKUP(Tabla3[[#This Row],[CONTABLE]],'SAPROV (2)'!L:M,2,FALSE)</f>
        <v>#N/A</v>
      </c>
      <c r="H684" t="s">
        <v>588</v>
      </c>
      <c r="I684" s="2" t="str">
        <f>VLOOKUP(Tabla3[[#This Row],[Deposito]],'SAPROV (2)'!D:E,2,FALSE)</f>
        <v>A01</v>
      </c>
      <c r="K684" s="23" t="s">
        <v>23</v>
      </c>
      <c r="L684" s="23" t="str">
        <f>VLOOKUP(Tabla3[[#This Row],[PROVEEDOR]],'SAPROV (2)'!A:B,2,FALSE)</f>
        <v>04</v>
      </c>
      <c r="M684" t="str">
        <f>VLOOKUP(Tabla3[[#This Row],[SERVICIO]],'SAPROV (2)'!I:J,2,FALSE)</f>
        <v>SERV0060</v>
      </c>
      <c r="N684" t="s">
        <v>611</v>
      </c>
      <c r="P684">
        <f>VLOOKUP(Tabla3[[#This Row],[FECHA]],TASA[],2,FALSE)</f>
        <v>344.51</v>
      </c>
      <c r="Q684" s="35">
        <f>D684/P684</f>
        <v>-0.67498766363821083</v>
      </c>
      <c r="R684" t="s">
        <v>1268</v>
      </c>
    </row>
    <row r="685" spans="1:18" x14ac:dyDescent="0.25">
      <c r="A685" s="33">
        <v>46042</v>
      </c>
      <c r="B685" s="1">
        <v>60183771</v>
      </c>
      <c r="C685" s="2" t="s">
        <v>1254</v>
      </c>
      <c r="D685" s="34">
        <v>-65000</v>
      </c>
      <c r="E685" t="s">
        <v>20</v>
      </c>
      <c r="F685" s="2" t="e">
        <f>VLOOKUP(Tabla3[[#This Row],[CONTABLE]],'SAPROV (2)'!L:M,2,FALSE)</f>
        <v>#N/A</v>
      </c>
      <c r="H685" t="s">
        <v>588</v>
      </c>
      <c r="I685" s="2" t="str">
        <f>VLOOKUP(Tabla3[[#This Row],[Deposito]],'SAPROV (2)'!D:E,2,FALSE)</f>
        <v>A01</v>
      </c>
      <c r="K685" s="23" t="s">
        <v>23</v>
      </c>
      <c r="L685" s="2" t="str">
        <f>VLOOKUP(Tabla3[[#This Row],[PROVEEDOR]],'SAPROV (2)'!A:B,2,FALSE)</f>
        <v>04</v>
      </c>
      <c r="M685" t="str">
        <f>VLOOKUP(Tabla3[[#This Row],[SERVICIO]],'SAPROV (2)'!I:J,2,FALSE)</f>
        <v>SERV0060</v>
      </c>
      <c r="N685" t="s">
        <v>611</v>
      </c>
      <c r="P685">
        <f>VLOOKUP(Tabla3[[#This Row],[FECHA]],TASA[],2,FALSE)</f>
        <v>344.51</v>
      </c>
      <c r="Q685" s="35">
        <f>D685/P685</f>
        <v>-188.6737685408261</v>
      </c>
      <c r="R685" t="s">
        <v>1268</v>
      </c>
    </row>
    <row r="686" spans="1:18" x14ac:dyDescent="0.25">
      <c r="A686" s="33">
        <v>46043</v>
      </c>
      <c r="B686" s="1">
        <v>60143527</v>
      </c>
      <c r="C686" s="2" t="s">
        <v>1254</v>
      </c>
      <c r="D686" s="34">
        <v>-41.25</v>
      </c>
      <c r="E686" t="s">
        <v>20</v>
      </c>
      <c r="F686" s="2" t="e">
        <f>VLOOKUP(Tabla3[[#This Row],[CONTABLE]],'SAPROV (2)'!L:M,2,FALSE)</f>
        <v>#N/A</v>
      </c>
      <c r="H686" t="s">
        <v>588</v>
      </c>
      <c r="I686" s="2" t="str">
        <f>VLOOKUP(Tabla3[[#This Row],[Deposito]],'SAPROV (2)'!D:E,2,FALSE)</f>
        <v>A01</v>
      </c>
      <c r="K686" s="23" t="s">
        <v>23</v>
      </c>
      <c r="L686" s="23" t="str">
        <f>VLOOKUP(Tabla3[[#This Row],[PROVEEDOR]],'SAPROV (2)'!A:B,2,FALSE)</f>
        <v>04</v>
      </c>
      <c r="M686" t="str">
        <f>VLOOKUP(Tabla3[[#This Row],[SERVICIO]],'SAPROV (2)'!I:J,2,FALSE)</f>
        <v>SERV0060</v>
      </c>
      <c r="N686" t="s">
        <v>611</v>
      </c>
      <c r="P686">
        <f>VLOOKUP(Tabla3[[#This Row],[FECHA]],TASA[],2,FALSE)</f>
        <v>347.26</v>
      </c>
      <c r="Q686" s="35">
        <f>D686/P686</f>
        <v>-0.11878707596613489</v>
      </c>
      <c r="R686" t="s">
        <v>1268</v>
      </c>
    </row>
    <row r="687" spans="1:18" x14ac:dyDescent="0.25">
      <c r="A687" s="33">
        <v>46043</v>
      </c>
      <c r="B687" s="1">
        <v>717471337</v>
      </c>
      <c r="C687" s="2" t="s">
        <v>1258</v>
      </c>
      <c r="D687" s="34">
        <v>-77.459999999999994</v>
      </c>
      <c r="E687" t="s">
        <v>20</v>
      </c>
      <c r="F687" s="2" t="e">
        <f>VLOOKUP(Tabla3[[#This Row],[CONTABLE]],'SAPROV (2)'!L:M,2,FALSE)</f>
        <v>#N/A</v>
      </c>
      <c r="H687" t="s">
        <v>588</v>
      </c>
      <c r="I687" s="2" t="str">
        <f>VLOOKUP(Tabla3[[#This Row],[Deposito]],'SAPROV (2)'!D:E,2,FALSE)</f>
        <v>A01</v>
      </c>
      <c r="K687" s="23" t="s">
        <v>23</v>
      </c>
      <c r="L687" s="23" t="str">
        <f>VLOOKUP(Tabla3[[#This Row],[PROVEEDOR]],'SAPROV (2)'!A:B,2,FALSE)</f>
        <v>04</v>
      </c>
      <c r="M687" t="str">
        <f>VLOOKUP(Tabla3[[#This Row],[SERVICIO]],'SAPROV (2)'!I:J,2,FALSE)</f>
        <v>SERV0060</v>
      </c>
      <c r="N687" t="s">
        <v>611</v>
      </c>
      <c r="P687">
        <f>VLOOKUP(Tabla3[[#This Row],[FECHA]],TASA[],2,FALSE)</f>
        <v>347.26</v>
      </c>
      <c r="Q687" s="35">
        <f>D687/P687</f>
        <v>-0.22306053101422563</v>
      </c>
      <c r="R687" t="s">
        <v>1268</v>
      </c>
    </row>
    <row r="688" spans="1:18" x14ac:dyDescent="0.25">
      <c r="A688" s="33">
        <v>46044</v>
      </c>
      <c r="B688" s="1">
        <v>60167496</v>
      </c>
      <c r="C688" s="2" t="s">
        <v>1254</v>
      </c>
      <c r="D688" s="34">
        <v>-2931.08</v>
      </c>
      <c r="E688" t="s">
        <v>20</v>
      </c>
      <c r="F688" s="2" t="e">
        <f>VLOOKUP(Tabla3[[#This Row],[CONTABLE]],'SAPROV (2)'!L:M,2,FALSE)</f>
        <v>#N/A</v>
      </c>
      <c r="H688" t="s">
        <v>588</v>
      </c>
      <c r="I688" s="2" t="str">
        <f>VLOOKUP(Tabla3[[#This Row],[Deposito]],'SAPROV (2)'!D:E,2,FALSE)</f>
        <v>A01</v>
      </c>
      <c r="K688" s="23" t="s">
        <v>23</v>
      </c>
      <c r="L688" s="2" t="str">
        <f>VLOOKUP(Tabla3[[#This Row],[PROVEEDOR]],'SAPROV (2)'!A:B,2,FALSE)</f>
        <v>04</v>
      </c>
      <c r="M688" t="str">
        <f>VLOOKUP(Tabla3[[#This Row],[SERVICIO]],'SAPROV (2)'!I:J,2,FALSE)</f>
        <v>SERV0060</v>
      </c>
      <c r="N688" t="s">
        <v>611</v>
      </c>
      <c r="P688">
        <f>VLOOKUP(Tabla3[[#This Row],[FECHA]],TASA[],2,FALSE)</f>
        <v>349.93</v>
      </c>
      <c r="Q688" s="35">
        <f t="shared" ref="Q688:Q689" si="95">D688/P688</f>
        <v>-8.3761895236190096</v>
      </c>
      <c r="R688" t="s">
        <v>1268</v>
      </c>
    </row>
    <row r="689" spans="1:18" x14ac:dyDescent="0.25">
      <c r="A689" s="33">
        <v>46044</v>
      </c>
      <c r="B689" s="1">
        <v>60167496</v>
      </c>
      <c r="C689" s="2" t="s">
        <v>1260</v>
      </c>
      <c r="D689" s="34">
        <v>-2</v>
      </c>
      <c r="E689" t="s">
        <v>20</v>
      </c>
      <c r="F689" s="2" t="e">
        <f>VLOOKUP(Tabla3[[#This Row],[CONTABLE]],'SAPROV (2)'!L:M,2,FALSE)</f>
        <v>#N/A</v>
      </c>
      <c r="H689" t="s">
        <v>588</v>
      </c>
      <c r="I689" s="2" t="str">
        <f>VLOOKUP(Tabla3[[#This Row],[Deposito]],'SAPROV (2)'!D:E,2,FALSE)</f>
        <v>A01</v>
      </c>
      <c r="K689" s="23" t="s">
        <v>23</v>
      </c>
      <c r="L689" s="23" t="str">
        <f>VLOOKUP(Tabla3[[#This Row],[PROVEEDOR]],'SAPROV (2)'!A:B,2,FALSE)</f>
        <v>04</v>
      </c>
      <c r="M689" t="str">
        <f>VLOOKUP(Tabla3[[#This Row],[SERVICIO]],'SAPROV (2)'!I:J,2,FALSE)</f>
        <v>SERV0060</v>
      </c>
      <c r="N689" t="s">
        <v>611</v>
      </c>
      <c r="P689">
        <f>VLOOKUP(Tabla3[[#This Row],[FECHA]],TASA[],2,FALSE)</f>
        <v>349.93</v>
      </c>
      <c r="Q689" s="35">
        <f t="shared" si="95"/>
        <v>-5.7154288000457231E-3</v>
      </c>
      <c r="R689" t="s">
        <v>1268</v>
      </c>
    </row>
    <row r="690" spans="1:18" x14ac:dyDescent="0.25">
      <c r="A690" s="33">
        <v>46045</v>
      </c>
      <c r="B690" s="1">
        <v>757867951</v>
      </c>
      <c r="C690" s="2" t="s">
        <v>1258</v>
      </c>
      <c r="D690" s="34">
        <v>-25.19</v>
      </c>
      <c r="E690" t="s">
        <v>20</v>
      </c>
      <c r="F690" s="2" t="e">
        <f>VLOOKUP(Tabla3[[#This Row],[CONTABLE]],'SAPROV (2)'!L:M,2,FALSE)</f>
        <v>#N/A</v>
      </c>
      <c r="H690" t="s">
        <v>588</v>
      </c>
      <c r="I690" s="2" t="str">
        <f>VLOOKUP(Tabla3[[#This Row],[Deposito]],'SAPROV (2)'!D:E,2,FALSE)</f>
        <v>A01</v>
      </c>
      <c r="K690" s="23" t="s">
        <v>23</v>
      </c>
      <c r="L690" s="23" t="str">
        <f>VLOOKUP(Tabla3[[#This Row],[PROVEEDOR]],'SAPROV (2)'!A:B,2,FALSE)</f>
        <v>04</v>
      </c>
      <c r="M690" t="str">
        <f>VLOOKUP(Tabla3[[#This Row],[SERVICIO]],'SAPROV (2)'!I:J,2,FALSE)</f>
        <v>SERV0060</v>
      </c>
      <c r="N690" t="s">
        <v>611</v>
      </c>
      <c r="P690">
        <f>VLOOKUP(Tabla3[[#This Row],[FECHA]],TASA[],2,FALSE)</f>
        <v>352.71</v>
      </c>
      <c r="Q690" s="35">
        <f t="shared" ref="Q690:Q691" si="96">D690/P690</f>
        <v>-7.1418445748632028E-2</v>
      </c>
      <c r="R690" t="s">
        <v>1268</v>
      </c>
    </row>
    <row r="691" spans="1:18" x14ac:dyDescent="0.25">
      <c r="A691" s="33">
        <v>46048</v>
      </c>
      <c r="C691" s="2" t="s">
        <v>1261</v>
      </c>
      <c r="D691" s="34">
        <v>-355.55</v>
      </c>
      <c r="E691" t="s">
        <v>20</v>
      </c>
      <c r="F691" s="2" t="e">
        <f>VLOOKUP(Tabla3[[#This Row],[CONTABLE]],'SAPROV (2)'!L:M,2,FALSE)</f>
        <v>#N/A</v>
      </c>
      <c r="H691" t="s">
        <v>588</v>
      </c>
      <c r="I691" s="2" t="str">
        <f>VLOOKUP(Tabla3[[#This Row],[Deposito]],'SAPROV (2)'!D:E,2,FALSE)</f>
        <v>A01</v>
      </c>
      <c r="K691" s="23" t="s">
        <v>23</v>
      </c>
      <c r="L691" s="2" t="str">
        <f>VLOOKUP(Tabla3[[#This Row],[PROVEEDOR]],'SAPROV (2)'!A:B,2,FALSE)</f>
        <v>04</v>
      </c>
      <c r="M691" t="str">
        <f>VLOOKUP(Tabla3[[#This Row],[SERVICIO]],'SAPROV (2)'!I:J,2,FALSE)</f>
        <v>SERV0060</v>
      </c>
      <c r="N691" t="s">
        <v>611</v>
      </c>
      <c r="P691">
        <f>VLOOKUP(Tabla3[[#This Row],[FECHA]],TASA[],2,FALSE)</f>
        <v>355.55</v>
      </c>
      <c r="Q691" s="35">
        <f t="shared" si="96"/>
        <v>-1</v>
      </c>
      <c r="R691" t="s">
        <v>1268</v>
      </c>
    </row>
    <row r="692" spans="1:18" x14ac:dyDescent="0.25">
      <c r="A692" s="33">
        <v>46049</v>
      </c>
      <c r="B692" s="1">
        <v>60153398</v>
      </c>
      <c r="C692" s="2" t="s">
        <v>1254</v>
      </c>
      <c r="D692" s="34">
        <v>-2800.72</v>
      </c>
      <c r="E692" t="s">
        <v>20</v>
      </c>
      <c r="F692" s="2" t="e">
        <f>VLOOKUP(Tabla3[[#This Row],[CONTABLE]],'SAPROV (2)'!L:M,2,FALSE)</f>
        <v>#N/A</v>
      </c>
      <c r="H692" t="s">
        <v>588</v>
      </c>
      <c r="I692" s="2" t="str">
        <f>VLOOKUP(Tabla3[[#This Row],[Deposito]],'SAPROV (2)'!D:E,2,FALSE)</f>
        <v>A01</v>
      </c>
      <c r="K692" s="23" t="s">
        <v>23</v>
      </c>
      <c r="L692" s="23" t="str">
        <f>VLOOKUP(Tabla3[[#This Row],[PROVEEDOR]],'SAPROV (2)'!A:B,2,FALSE)</f>
        <v>04</v>
      </c>
      <c r="M692" t="str">
        <f>VLOOKUP(Tabla3[[#This Row],[SERVICIO]],'SAPROV (2)'!I:J,2,FALSE)</f>
        <v>SERV0060</v>
      </c>
      <c r="N692" t="s">
        <v>611</v>
      </c>
      <c r="P692">
        <f>VLOOKUP(Tabla3[[#This Row],[FECHA]],TASA[],2,FALSE)</f>
        <v>358.92</v>
      </c>
      <c r="Q692" s="35">
        <f t="shared" ref="Q692:Q698" si="97">D692/P692</f>
        <v>-7.8031873397971685</v>
      </c>
      <c r="R692" t="s">
        <v>1268</v>
      </c>
    </row>
    <row r="693" spans="1:18" x14ac:dyDescent="0.25">
      <c r="A693" s="33">
        <v>46049</v>
      </c>
      <c r="C693" s="2" t="s">
        <v>1262</v>
      </c>
      <c r="D693" s="34">
        <v>-550120.25</v>
      </c>
      <c r="E693" t="s">
        <v>20</v>
      </c>
      <c r="F693" s="2" t="e">
        <f>VLOOKUP(Tabla3[[#This Row],[CONTABLE]],'SAPROV (2)'!L:M,2,FALSE)</f>
        <v>#N/A</v>
      </c>
      <c r="H693" t="s">
        <v>588</v>
      </c>
      <c r="I693" s="2" t="str">
        <f>VLOOKUP(Tabla3[[#This Row],[Deposito]],'SAPROV (2)'!D:E,2,FALSE)</f>
        <v>A01</v>
      </c>
      <c r="K693" s="23" t="s">
        <v>23</v>
      </c>
      <c r="L693" s="23" t="str">
        <f>VLOOKUP(Tabla3[[#This Row],[PROVEEDOR]],'SAPROV (2)'!A:B,2,FALSE)</f>
        <v>04</v>
      </c>
      <c r="M693" t="str">
        <f>VLOOKUP(Tabla3[[#This Row],[SERVICIO]],'SAPROV (2)'!I:J,2,FALSE)</f>
        <v>SERV0060</v>
      </c>
      <c r="N693" t="s">
        <v>611</v>
      </c>
      <c r="P693">
        <f>VLOOKUP(Tabla3[[#This Row],[FECHA]],TASA[],2,FALSE)</f>
        <v>358.92</v>
      </c>
      <c r="Q693" s="35">
        <f t="shared" si="97"/>
        <v>-1532.7099353616404</v>
      </c>
      <c r="R693" t="s">
        <v>1268</v>
      </c>
    </row>
    <row r="694" spans="1:18" x14ac:dyDescent="0.25">
      <c r="A694" s="33">
        <v>46049</v>
      </c>
      <c r="C694" s="2" t="s">
        <v>1262</v>
      </c>
      <c r="D694" s="34">
        <v>-550120.25</v>
      </c>
      <c r="E694" t="s">
        <v>20</v>
      </c>
      <c r="F694" s="2" t="e">
        <f>VLOOKUP(Tabla3[[#This Row],[CONTABLE]],'SAPROV (2)'!L:M,2,FALSE)</f>
        <v>#N/A</v>
      </c>
      <c r="H694" t="s">
        <v>588</v>
      </c>
      <c r="I694" s="2" t="str">
        <f>VLOOKUP(Tabla3[[#This Row],[Deposito]],'SAPROV (2)'!D:E,2,FALSE)</f>
        <v>A01</v>
      </c>
      <c r="K694" s="23" t="s">
        <v>23</v>
      </c>
      <c r="L694" s="2" t="str">
        <f>VLOOKUP(Tabla3[[#This Row],[PROVEEDOR]],'SAPROV (2)'!A:B,2,FALSE)</f>
        <v>04</v>
      </c>
      <c r="M694" t="str">
        <f>VLOOKUP(Tabla3[[#This Row],[SERVICIO]],'SAPROV (2)'!I:J,2,FALSE)</f>
        <v>SERV0060</v>
      </c>
      <c r="N694" t="s">
        <v>611</v>
      </c>
      <c r="P694">
        <f>VLOOKUP(Tabla3[[#This Row],[FECHA]],TASA[],2,FALSE)</f>
        <v>358.92</v>
      </c>
      <c r="Q694" s="35">
        <f t="shared" si="97"/>
        <v>-1532.7099353616404</v>
      </c>
      <c r="R694" t="s">
        <v>1268</v>
      </c>
    </row>
    <row r="695" spans="1:18" x14ac:dyDescent="0.25">
      <c r="A695" s="33">
        <v>46049</v>
      </c>
      <c r="C695" s="2" t="s">
        <v>1262</v>
      </c>
      <c r="D695" s="34">
        <v>-550120.25</v>
      </c>
      <c r="E695" t="s">
        <v>20</v>
      </c>
      <c r="F695" s="2" t="e">
        <f>VLOOKUP(Tabla3[[#This Row],[CONTABLE]],'SAPROV (2)'!L:M,2,FALSE)</f>
        <v>#N/A</v>
      </c>
      <c r="H695" t="s">
        <v>588</v>
      </c>
      <c r="I695" s="2" t="str">
        <f>VLOOKUP(Tabla3[[#This Row],[Deposito]],'SAPROV (2)'!D:E,2,FALSE)</f>
        <v>A01</v>
      </c>
      <c r="K695" s="23" t="s">
        <v>23</v>
      </c>
      <c r="L695" s="23" t="str">
        <f>VLOOKUP(Tabla3[[#This Row],[PROVEEDOR]],'SAPROV (2)'!A:B,2,FALSE)</f>
        <v>04</v>
      </c>
      <c r="M695" t="str">
        <f>VLOOKUP(Tabla3[[#This Row],[SERVICIO]],'SAPROV (2)'!I:J,2,FALSE)</f>
        <v>SERV0060</v>
      </c>
      <c r="N695" t="s">
        <v>611</v>
      </c>
      <c r="P695">
        <f>VLOOKUP(Tabla3[[#This Row],[FECHA]],TASA[],2,FALSE)</f>
        <v>358.92</v>
      </c>
      <c r="Q695" s="35">
        <f t="shared" si="97"/>
        <v>-1532.7099353616404</v>
      </c>
      <c r="R695" t="s">
        <v>1268</v>
      </c>
    </row>
    <row r="696" spans="1:18" x14ac:dyDescent="0.25">
      <c r="A696" s="33">
        <v>46049</v>
      </c>
      <c r="C696" s="2" t="s">
        <v>1262</v>
      </c>
      <c r="D696" s="34">
        <v>-550120.25</v>
      </c>
      <c r="E696" t="s">
        <v>20</v>
      </c>
      <c r="F696" s="2" t="e">
        <f>VLOOKUP(Tabla3[[#This Row],[CONTABLE]],'SAPROV (2)'!L:M,2,FALSE)</f>
        <v>#N/A</v>
      </c>
      <c r="H696" t="s">
        <v>588</v>
      </c>
      <c r="I696" s="2" t="str">
        <f>VLOOKUP(Tabla3[[#This Row],[Deposito]],'SAPROV (2)'!D:E,2,FALSE)</f>
        <v>A01</v>
      </c>
      <c r="K696" s="23" t="s">
        <v>23</v>
      </c>
      <c r="L696" s="23" t="str">
        <f>VLOOKUP(Tabla3[[#This Row],[PROVEEDOR]],'SAPROV (2)'!A:B,2,FALSE)</f>
        <v>04</v>
      </c>
      <c r="M696" t="str">
        <f>VLOOKUP(Tabla3[[#This Row],[SERVICIO]],'SAPROV (2)'!I:J,2,FALSE)</f>
        <v>SERV0060</v>
      </c>
      <c r="N696" t="s">
        <v>611</v>
      </c>
      <c r="P696">
        <f>VLOOKUP(Tabla3[[#This Row],[FECHA]],TASA[],2,FALSE)</f>
        <v>358.92</v>
      </c>
      <c r="Q696" s="35">
        <f t="shared" si="97"/>
        <v>-1532.7099353616404</v>
      </c>
      <c r="R696" t="s">
        <v>1268</v>
      </c>
    </row>
    <row r="697" spans="1:18" x14ac:dyDescent="0.25">
      <c r="A697" s="33">
        <v>46049</v>
      </c>
      <c r="C697" s="2" t="s">
        <v>1262</v>
      </c>
      <c r="D697" s="34">
        <v>-550120.25</v>
      </c>
      <c r="E697" t="s">
        <v>20</v>
      </c>
      <c r="F697" s="2" t="e">
        <f>VLOOKUP(Tabla3[[#This Row],[CONTABLE]],'SAPROV (2)'!L:M,2,FALSE)</f>
        <v>#N/A</v>
      </c>
      <c r="H697" t="s">
        <v>588</v>
      </c>
      <c r="I697" s="2" t="str">
        <f>VLOOKUP(Tabla3[[#This Row],[Deposito]],'SAPROV (2)'!D:E,2,FALSE)</f>
        <v>A01</v>
      </c>
      <c r="K697" s="23" t="s">
        <v>23</v>
      </c>
      <c r="L697" s="2" t="str">
        <f>VLOOKUP(Tabla3[[#This Row],[PROVEEDOR]],'SAPROV (2)'!A:B,2,FALSE)</f>
        <v>04</v>
      </c>
      <c r="M697" t="str">
        <f>VLOOKUP(Tabla3[[#This Row],[SERVICIO]],'SAPROV (2)'!I:J,2,FALSE)</f>
        <v>SERV0060</v>
      </c>
      <c r="N697" t="s">
        <v>611</v>
      </c>
      <c r="P697">
        <f>VLOOKUP(Tabla3[[#This Row],[FECHA]],TASA[],2,FALSE)</f>
        <v>358.92</v>
      </c>
      <c r="Q697" s="35">
        <f t="shared" si="97"/>
        <v>-1532.7099353616404</v>
      </c>
      <c r="R697" t="s">
        <v>1268</v>
      </c>
    </row>
    <row r="698" spans="1:18" x14ac:dyDescent="0.25">
      <c r="A698" s="33">
        <v>46049</v>
      </c>
      <c r="C698" s="2" t="s">
        <v>1262</v>
      </c>
      <c r="D698" s="34">
        <v>-550120.25</v>
      </c>
      <c r="E698" t="s">
        <v>20</v>
      </c>
      <c r="F698" s="2" t="e">
        <f>VLOOKUP(Tabla3[[#This Row],[CONTABLE]],'SAPROV (2)'!L:M,2,FALSE)</f>
        <v>#N/A</v>
      </c>
      <c r="H698" t="s">
        <v>588</v>
      </c>
      <c r="I698" s="2" t="str">
        <f>VLOOKUP(Tabla3[[#This Row],[Deposito]],'SAPROV (2)'!D:E,2,FALSE)</f>
        <v>A01</v>
      </c>
      <c r="K698" s="23" t="s">
        <v>23</v>
      </c>
      <c r="L698" s="23" t="str">
        <f>VLOOKUP(Tabla3[[#This Row],[PROVEEDOR]],'SAPROV (2)'!A:B,2,FALSE)</f>
        <v>04</v>
      </c>
      <c r="M698" t="str">
        <f>VLOOKUP(Tabla3[[#This Row],[SERVICIO]],'SAPROV (2)'!I:J,2,FALSE)</f>
        <v>SERV0060</v>
      </c>
      <c r="N698" t="s">
        <v>611</v>
      </c>
      <c r="P698">
        <f>VLOOKUP(Tabla3[[#This Row],[FECHA]],TASA[],2,FALSE)</f>
        <v>358.92</v>
      </c>
      <c r="Q698" s="35">
        <f t="shared" si="97"/>
        <v>-1532.7099353616404</v>
      </c>
      <c r="R698" t="s">
        <v>1268</v>
      </c>
    </row>
    <row r="699" spans="1:18" x14ac:dyDescent="0.25">
      <c r="A699" s="33">
        <v>46051</v>
      </c>
      <c r="B699" s="1">
        <v>60153247</v>
      </c>
      <c r="C699" s="2" t="s">
        <v>1254</v>
      </c>
      <c r="D699" s="34">
        <v>-3640.07</v>
      </c>
      <c r="E699" t="s">
        <v>20</v>
      </c>
      <c r="F699" s="2" t="e">
        <f>VLOOKUP(Tabla3[[#This Row],[CONTABLE]],'SAPROV (2)'!L:M,2,FALSE)</f>
        <v>#N/A</v>
      </c>
      <c r="H699" t="s">
        <v>588</v>
      </c>
      <c r="I699" s="2" t="str">
        <f>VLOOKUP(Tabla3[[#This Row],[Deposito]],'SAPROV (2)'!D:E,2,FALSE)</f>
        <v>A01</v>
      </c>
      <c r="K699" s="23" t="s">
        <v>23</v>
      </c>
      <c r="L699" s="23" t="str">
        <f>VLOOKUP(Tabla3[[#This Row],[PROVEEDOR]],'SAPROV (2)'!A:B,2,FALSE)</f>
        <v>04</v>
      </c>
      <c r="M699" t="str">
        <f>VLOOKUP(Tabla3[[#This Row],[SERVICIO]],'SAPROV (2)'!I:J,2,FALSE)</f>
        <v>SERV0060</v>
      </c>
      <c r="N699" t="s">
        <v>611</v>
      </c>
      <c r="P699">
        <f>VLOOKUP(Tabla3[[#This Row],[FECHA]],TASA[],2,FALSE)</f>
        <v>363.66</v>
      </c>
      <c r="Q699" s="35">
        <f>D699/P699</f>
        <v>-10.009541879777814</v>
      </c>
      <c r="R699" t="s">
        <v>1268</v>
      </c>
    </row>
    <row r="700" spans="1:18" x14ac:dyDescent="0.25">
      <c r="A700" s="33">
        <v>46052</v>
      </c>
      <c r="B700" s="1">
        <v>720721127</v>
      </c>
      <c r="C700" s="2" t="s">
        <v>1263</v>
      </c>
      <c r="D700" s="34">
        <v>-21689.4</v>
      </c>
      <c r="E700" t="s">
        <v>20</v>
      </c>
      <c r="F700" s="2" t="e">
        <f>VLOOKUP(Tabla3[[#This Row],[CONTABLE]],'SAPROV (2)'!L:M,2,FALSE)</f>
        <v>#N/A</v>
      </c>
      <c r="H700" t="s">
        <v>1278</v>
      </c>
      <c r="I700" s="2" t="str">
        <f>VLOOKUP(Tabla3[[#This Row],[Deposito]],'SAPROV (2)'!D:E,2,FALSE)</f>
        <v>06</v>
      </c>
      <c r="K700" s="2" t="s">
        <v>101</v>
      </c>
      <c r="L700" s="2" t="str">
        <f>VLOOKUP(Tabla3[[#This Row],[PROVEEDOR]],'SAPROV (2)'!A:B,2,FALSE)</f>
        <v>36</v>
      </c>
      <c r="M700" t="str">
        <f>VLOOKUP(Tabla3[[#This Row],[SERVICIO]],'SAPROV (2)'!I:J,2,FALSE)</f>
        <v>SERV0011</v>
      </c>
      <c r="N700" t="s">
        <v>927</v>
      </c>
      <c r="P700">
        <f>VLOOKUP(Tabla3[[#This Row],[FECHA]],TASA[],2,FALSE)</f>
        <v>367.31</v>
      </c>
      <c r="Q700" s="35">
        <f t="shared" ref="Q700:Q731" si="98">D700/P700</f>
        <v>-59.049304402276007</v>
      </c>
      <c r="R700" t="s">
        <v>1268</v>
      </c>
    </row>
    <row r="701" spans="1:18" x14ac:dyDescent="0.25">
      <c r="A701" s="33">
        <v>46052</v>
      </c>
      <c r="B701" s="1">
        <v>720721129</v>
      </c>
      <c r="C701" s="2" t="s">
        <v>1263</v>
      </c>
      <c r="D701" s="34">
        <v>-21689.4</v>
      </c>
      <c r="E701" t="s">
        <v>20</v>
      </c>
      <c r="F701" s="2" t="e">
        <f>VLOOKUP(Tabla3[[#This Row],[CONTABLE]],'SAPROV (2)'!L:M,2,FALSE)</f>
        <v>#N/A</v>
      </c>
      <c r="H701" t="s">
        <v>1278</v>
      </c>
      <c r="I701" s="2" t="str">
        <f>VLOOKUP(Tabla3[[#This Row],[Deposito]],'SAPROV (2)'!D:E,2,FALSE)</f>
        <v>06</v>
      </c>
      <c r="K701" s="2" t="s">
        <v>101</v>
      </c>
      <c r="L701" s="23" t="str">
        <f>VLOOKUP(Tabla3[[#This Row],[PROVEEDOR]],'SAPROV (2)'!A:B,2,FALSE)</f>
        <v>36</v>
      </c>
      <c r="M701" t="str">
        <f>VLOOKUP(Tabla3[[#This Row],[SERVICIO]],'SAPROV (2)'!I:J,2,FALSE)</f>
        <v>SERV0011</v>
      </c>
      <c r="N701" t="s">
        <v>927</v>
      </c>
      <c r="P701">
        <f>VLOOKUP(Tabla3[[#This Row],[FECHA]],TASA[],2,FALSE)</f>
        <v>367.31</v>
      </c>
      <c r="Q701" s="35">
        <f t="shared" si="98"/>
        <v>-59.049304402276007</v>
      </c>
      <c r="R701" t="s">
        <v>1268</v>
      </c>
    </row>
    <row r="702" spans="1:18" x14ac:dyDescent="0.25">
      <c r="A702" s="33">
        <v>46052</v>
      </c>
      <c r="B702" s="1">
        <v>720721128</v>
      </c>
      <c r="C702" s="2" t="s">
        <v>1263</v>
      </c>
      <c r="D702" s="34">
        <v>-21689.4</v>
      </c>
      <c r="E702" t="s">
        <v>20</v>
      </c>
      <c r="F702" s="2" t="e">
        <f>VLOOKUP(Tabla3[[#This Row],[CONTABLE]],'SAPROV (2)'!L:M,2,FALSE)</f>
        <v>#N/A</v>
      </c>
      <c r="H702" t="s">
        <v>1278</v>
      </c>
      <c r="I702" s="2" t="str">
        <f>VLOOKUP(Tabla3[[#This Row],[Deposito]],'SAPROV (2)'!D:E,2,FALSE)</f>
        <v>06</v>
      </c>
      <c r="K702" s="2" t="s">
        <v>101</v>
      </c>
      <c r="L702" s="23" t="str">
        <f>VLOOKUP(Tabla3[[#This Row],[PROVEEDOR]],'SAPROV (2)'!A:B,2,FALSE)</f>
        <v>36</v>
      </c>
      <c r="M702" t="str">
        <f>VLOOKUP(Tabla3[[#This Row],[SERVICIO]],'SAPROV (2)'!I:J,2,FALSE)</f>
        <v>SERV0011</v>
      </c>
      <c r="N702" t="s">
        <v>927</v>
      </c>
      <c r="P702">
        <f>VLOOKUP(Tabla3[[#This Row],[FECHA]],TASA[],2,FALSE)</f>
        <v>367.31</v>
      </c>
      <c r="Q702" s="35">
        <f t="shared" si="98"/>
        <v>-59.049304402276007</v>
      </c>
      <c r="R702" t="s">
        <v>1268</v>
      </c>
    </row>
    <row r="703" spans="1:18" x14ac:dyDescent="0.25">
      <c r="A703" s="33">
        <v>46052</v>
      </c>
      <c r="B703" s="1">
        <v>720721131</v>
      </c>
      <c r="C703" s="2" t="s">
        <v>1263</v>
      </c>
      <c r="D703" s="34">
        <v>-21689.4</v>
      </c>
      <c r="E703" t="s">
        <v>20</v>
      </c>
      <c r="F703" s="2" t="e">
        <f>VLOOKUP(Tabla3[[#This Row],[CONTABLE]],'SAPROV (2)'!L:M,2,FALSE)</f>
        <v>#N/A</v>
      </c>
      <c r="H703" t="s">
        <v>1278</v>
      </c>
      <c r="I703" s="2" t="str">
        <f>VLOOKUP(Tabla3[[#This Row],[Deposito]],'SAPROV (2)'!D:E,2,FALSE)</f>
        <v>06</v>
      </c>
      <c r="K703" s="2" t="s">
        <v>101</v>
      </c>
      <c r="L703" s="2" t="str">
        <f>VLOOKUP(Tabla3[[#This Row],[PROVEEDOR]],'SAPROV (2)'!A:B,2,FALSE)</f>
        <v>36</v>
      </c>
      <c r="M703" t="str">
        <f>VLOOKUP(Tabla3[[#This Row],[SERVICIO]],'SAPROV (2)'!I:J,2,FALSE)</f>
        <v>SERV0011</v>
      </c>
      <c r="N703" t="s">
        <v>927</v>
      </c>
      <c r="P703">
        <f>VLOOKUP(Tabla3[[#This Row],[FECHA]],TASA[],2,FALSE)</f>
        <v>367.31</v>
      </c>
      <c r="Q703" s="35">
        <f t="shared" si="98"/>
        <v>-59.049304402276007</v>
      </c>
      <c r="R703" t="s">
        <v>1268</v>
      </c>
    </row>
    <row r="704" spans="1:18" x14ac:dyDescent="0.25">
      <c r="A704" s="33">
        <v>46052</v>
      </c>
      <c r="B704" s="1">
        <v>720721130</v>
      </c>
      <c r="C704" s="2" t="s">
        <v>1263</v>
      </c>
      <c r="D704" s="34">
        <v>-21689.4</v>
      </c>
      <c r="E704" t="s">
        <v>20</v>
      </c>
      <c r="F704" s="2" t="e">
        <f>VLOOKUP(Tabla3[[#This Row],[CONTABLE]],'SAPROV (2)'!L:M,2,FALSE)</f>
        <v>#N/A</v>
      </c>
      <c r="H704" t="s">
        <v>1278</v>
      </c>
      <c r="I704" s="2" t="str">
        <f>VLOOKUP(Tabla3[[#This Row],[Deposito]],'SAPROV (2)'!D:E,2,FALSE)</f>
        <v>06</v>
      </c>
      <c r="K704" s="2" t="s">
        <v>101</v>
      </c>
      <c r="L704" s="23" t="str">
        <f>VLOOKUP(Tabla3[[#This Row],[PROVEEDOR]],'SAPROV (2)'!A:B,2,FALSE)</f>
        <v>36</v>
      </c>
      <c r="M704" t="str">
        <f>VLOOKUP(Tabla3[[#This Row],[SERVICIO]],'SAPROV (2)'!I:J,2,FALSE)</f>
        <v>SERV0011</v>
      </c>
      <c r="N704" t="s">
        <v>927</v>
      </c>
      <c r="P704">
        <f>VLOOKUP(Tabla3[[#This Row],[FECHA]],TASA[],2,FALSE)</f>
        <v>367.31</v>
      </c>
      <c r="Q704" s="35">
        <f t="shared" si="98"/>
        <v>-59.049304402276007</v>
      </c>
      <c r="R704" t="s">
        <v>1268</v>
      </c>
    </row>
    <row r="705" spans="1:18" x14ac:dyDescent="0.25">
      <c r="A705" s="33">
        <v>46052</v>
      </c>
      <c r="B705" s="1">
        <v>720721132</v>
      </c>
      <c r="C705" s="2" t="s">
        <v>1263</v>
      </c>
      <c r="D705" s="34">
        <v>-21689.4</v>
      </c>
      <c r="E705" t="s">
        <v>20</v>
      </c>
      <c r="F705" s="2" t="e">
        <f>VLOOKUP(Tabla3[[#This Row],[CONTABLE]],'SAPROV (2)'!L:M,2,FALSE)</f>
        <v>#N/A</v>
      </c>
      <c r="H705" t="s">
        <v>1278</v>
      </c>
      <c r="I705" s="2" t="str">
        <f>VLOOKUP(Tabla3[[#This Row],[Deposito]],'SAPROV (2)'!D:E,2,FALSE)</f>
        <v>06</v>
      </c>
      <c r="K705" s="2" t="s">
        <v>101</v>
      </c>
      <c r="L705" s="23" t="str">
        <f>VLOOKUP(Tabla3[[#This Row],[PROVEEDOR]],'SAPROV (2)'!A:B,2,FALSE)</f>
        <v>36</v>
      </c>
      <c r="M705" t="str">
        <f>VLOOKUP(Tabla3[[#This Row],[SERVICIO]],'SAPROV (2)'!I:J,2,FALSE)</f>
        <v>SERV0011</v>
      </c>
      <c r="N705" t="s">
        <v>927</v>
      </c>
      <c r="P705">
        <f>VLOOKUP(Tabla3[[#This Row],[FECHA]],TASA[],2,FALSE)</f>
        <v>367.31</v>
      </c>
      <c r="Q705" s="35">
        <f t="shared" si="98"/>
        <v>-59.049304402276007</v>
      </c>
      <c r="R705" t="s">
        <v>1268</v>
      </c>
    </row>
    <row r="706" spans="1:18" x14ac:dyDescent="0.25">
      <c r="A706" s="33">
        <v>46052</v>
      </c>
      <c r="B706" s="1">
        <v>720721134</v>
      </c>
      <c r="C706" s="2" t="s">
        <v>1263</v>
      </c>
      <c r="D706" s="34">
        <v>-21689.4</v>
      </c>
      <c r="E706" t="s">
        <v>20</v>
      </c>
      <c r="F706" s="2" t="e">
        <f>VLOOKUP(Tabla3[[#This Row],[CONTABLE]],'SAPROV (2)'!L:M,2,FALSE)</f>
        <v>#N/A</v>
      </c>
      <c r="H706" t="s">
        <v>1278</v>
      </c>
      <c r="I706" s="2" t="str">
        <f>VLOOKUP(Tabla3[[#This Row],[Deposito]],'SAPROV (2)'!D:E,2,FALSE)</f>
        <v>06</v>
      </c>
      <c r="K706" s="2" t="s">
        <v>101</v>
      </c>
      <c r="L706" s="2" t="str">
        <f>VLOOKUP(Tabla3[[#This Row],[PROVEEDOR]],'SAPROV (2)'!A:B,2,FALSE)</f>
        <v>36</v>
      </c>
      <c r="M706" t="str">
        <f>VLOOKUP(Tabla3[[#This Row],[SERVICIO]],'SAPROV (2)'!I:J,2,FALSE)</f>
        <v>SERV0011</v>
      </c>
      <c r="N706" t="s">
        <v>927</v>
      </c>
      <c r="P706">
        <f>VLOOKUP(Tabla3[[#This Row],[FECHA]],TASA[],2,FALSE)</f>
        <v>367.31</v>
      </c>
      <c r="Q706" s="35">
        <f t="shared" si="98"/>
        <v>-59.049304402276007</v>
      </c>
      <c r="R706" t="s">
        <v>1268</v>
      </c>
    </row>
    <row r="707" spans="1:18" x14ac:dyDescent="0.25">
      <c r="A707" s="33">
        <v>46052</v>
      </c>
      <c r="B707" s="1">
        <v>720721133</v>
      </c>
      <c r="C707" s="2" t="s">
        <v>1263</v>
      </c>
      <c r="D707" s="34">
        <v>-21689.4</v>
      </c>
      <c r="E707" t="s">
        <v>20</v>
      </c>
      <c r="F707" s="2" t="e">
        <f>VLOOKUP(Tabla3[[#This Row],[CONTABLE]],'SAPROV (2)'!L:M,2,FALSE)</f>
        <v>#N/A</v>
      </c>
      <c r="H707" t="s">
        <v>1278</v>
      </c>
      <c r="I707" s="2" t="str">
        <f>VLOOKUP(Tabla3[[#This Row],[Deposito]],'SAPROV (2)'!D:E,2,FALSE)</f>
        <v>06</v>
      </c>
      <c r="K707" s="2" t="s">
        <v>101</v>
      </c>
      <c r="L707" s="23" t="str">
        <f>VLOOKUP(Tabla3[[#This Row],[PROVEEDOR]],'SAPROV (2)'!A:B,2,FALSE)</f>
        <v>36</v>
      </c>
      <c r="M707" t="str">
        <f>VLOOKUP(Tabla3[[#This Row],[SERVICIO]],'SAPROV (2)'!I:J,2,FALSE)</f>
        <v>SERV0011</v>
      </c>
      <c r="N707" t="s">
        <v>927</v>
      </c>
      <c r="P707">
        <f>VLOOKUP(Tabla3[[#This Row],[FECHA]],TASA[],2,FALSE)</f>
        <v>367.31</v>
      </c>
      <c r="Q707" s="35">
        <f t="shared" si="98"/>
        <v>-59.049304402276007</v>
      </c>
      <c r="R707" t="s">
        <v>1268</v>
      </c>
    </row>
    <row r="708" spans="1:18" x14ac:dyDescent="0.25">
      <c r="A708" s="33">
        <v>46052</v>
      </c>
      <c r="B708" s="1">
        <v>720721137</v>
      </c>
      <c r="C708" s="2" t="s">
        <v>1263</v>
      </c>
      <c r="D708" s="34">
        <v>-21689.4</v>
      </c>
      <c r="E708" t="s">
        <v>20</v>
      </c>
      <c r="F708" s="2" t="e">
        <f>VLOOKUP(Tabla3[[#This Row],[CONTABLE]],'SAPROV (2)'!L:M,2,FALSE)</f>
        <v>#N/A</v>
      </c>
      <c r="H708" t="s">
        <v>1278</v>
      </c>
      <c r="I708" s="2" t="str">
        <f>VLOOKUP(Tabla3[[#This Row],[Deposito]],'SAPROV (2)'!D:E,2,FALSE)</f>
        <v>06</v>
      </c>
      <c r="K708" s="2" t="s">
        <v>101</v>
      </c>
      <c r="L708" s="23" t="str">
        <f>VLOOKUP(Tabla3[[#This Row],[PROVEEDOR]],'SAPROV (2)'!A:B,2,FALSE)</f>
        <v>36</v>
      </c>
      <c r="M708" t="str">
        <f>VLOOKUP(Tabla3[[#This Row],[SERVICIO]],'SAPROV (2)'!I:J,2,FALSE)</f>
        <v>SERV0011</v>
      </c>
      <c r="N708" t="s">
        <v>927</v>
      </c>
      <c r="P708">
        <f>VLOOKUP(Tabla3[[#This Row],[FECHA]],TASA[],2,FALSE)</f>
        <v>367.31</v>
      </c>
      <c r="Q708" s="35">
        <f t="shared" si="98"/>
        <v>-59.049304402276007</v>
      </c>
      <c r="R708" t="s">
        <v>1268</v>
      </c>
    </row>
    <row r="709" spans="1:18" x14ac:dyDescent="0.25">
      <c r="A709" s="33">
        <v>46052</v>
      </c>
      <c r="B709" s="1">
        <v>820721138</v>
      </c>
      <c r="C709" s="2" t="s">
        <v>1286</v>
      </c>
      <c r="D709" s="34">
        <v>-21689.4</v>
      </c>
      <c r="E709" t="s">
        <v>20</v>
      </c>
      <c r="F709" s="2" t="e">
        <f>VLOOKUP(Tabla3[[#This Row],[CONTABLE]],'SAPROV (2)'!L:M,2,FALSE)</f>
        <v>#N/A</v>
      </c>
      <c r="H709" t="s">
        <v>1281</v>
      </c>
      <c r="I709" s="2" t="str">
        <f>VLOOKUP(Tabla3[[#This Row],[Deposito]],'SAPROV (2)'!D:E,2,FALSE)</f>
        <v>07</v>
      </c>
      <c r="K709" s="2" t="s">
        <v>101</v>
      </c>
      <c r="L709" s="2" t="str">
        <f>VLOOKUP(Tabla3[[#This Row],[PROVEEDOR]],'SAPROV (2)'!A:B,2,FALSE)</f>
        <v>36</v>
      </c>
      <c r="M709" t="str">
        <f>VLOOKUP(Tabla3[[#This Row],[SERVICIO]],'SAPROV (2)'!I:J,2,FALSE)</f>
        <v>SERV0011</v>
      </c>
      <c r="N709" t="s">
        <v>927</v>
      </c>
      <c r="P709">
        <f>VLOOKUP(Tabla3[[#This Row],[FECHA]],TASA[],2,FALSE)</f>
        <v>367.31</v>
      </c>
      <c r="Q709" s="35">
        <f t="shared" si="98"/>
        <v>-59.049304402276007</v>
      </c>
      <c r="R709" t="s">
        <v>1268</v>
      </c>
    </row>
    <row r="710" spans="1:18" x14ac:dyDescent="0.25">
      <c r="A710" s="33">
        <v>46052</v>
      </c>
      <c r="B710" s="1">
        <v>720721136</v>
      </c>
      <c r="C710" s="2" t="s">
        <v>1286</v>
      </c>
      <c r="D710" s="34">
        <v>-21689.4</v>
      </c>
      <c r="E710" t="s">
        <v>20</v>
      </c>
      <c r="F710" s="2" t="e">
        <f>VLOOKUP(Tabla3[[#This Row],[CONTABLE]],'SAPROV (2)'!L:M,2,FALSE)</f>
        <v>#N/A</v>
      </c>
      <c r="H710" t="s">
        <v>1281</v>
      </c>
      <c r="I710" s="2" t="str">
        <f>VLOOKUP(Tabla3[[#This Row],[Deposito]],'SAPROV (2)'!D:E,2,FALSE)</f>
        <v>07</v>
      </c>
      <c r="K710" s="2" t="s">
        <v>101</v>
      </c>
      <c r="L710" s="23" t="str">
        <f>VLOOKUP(Tabla3[[#This Row],[PROVEEDOR]],'SAPROV (2)'!A:B,2,FALSE)</f>
        <v>36</v>
      </c>
      <c r="M710" t="str">
        <f>VLOOKUP(Tabla3[[#This Row],[SERVICIO]],'SAPROV (2)'!I:J,2,FALSE)</f>
        <v>SERV0011</v>
      </c>
      <c r="N710" t="s">
        <v>927</v>
      </c>
      <c r="P710">
        <f>VLOOKUP(Tabla3[[#This Row],[FECHA]],TASA[],2,FALSE)</f>
        <v>367.31</v>
      </c>
      <c r="Q710" s="35">
        <f t="shared" si="98"/>
        <v>-59.049304402276007</v>
      </c>
      <c r="R710" t="s">
        <v>1268</v>
      </c>
    </row>
    <row r="711" spans="1:18" x14ac:dyDescent="0.25">
      <c r="A711" s="33">
        <v>46052</v>
      </c>
      <c r="B711" s="1">
        <v>820721139</v>
      </c>
      <c r="C711" s="2" t="s">
        <v>1286</v>
      </c>
      <c r="D711" s="34">
        <v>-21689.4</v>
      </c>
      <c r="E711" t="s">
        <v>20</v>
      </c>
      <c r="F711" s="2" t="e">
        <f>VLOOKUP(Tabla3[[#This Row],[CONTABLE]],'SAPROV (2)'!L:M,2,FALSE)</f>
        <v>#N/A</v>
      </c>
      <c r="H711" t="s">
        <v>1281</v>
      </c>
      <c r="I711" s="2" t="str">
        <f>VLOOKUP(Tabla3[[#This Row],[Deposito]],'SAPROV (2)'!D:E,2,FALSE)</f>
        <v>07</v>
      </c>
      <c r="K711" s="2" t="s">
        <v>101</v>
      </c>
      <c r="L711" s="23" t="str">
        <f>VLOOKUP(Tabla3[[#This Row],[PROVEEDOR]],'SAPROV (2)'!A:B,2,FALSE)</f>
        <v>36</v>
      </c>
      <c r="M711" t="str">
        <f>VLOOKUP(Tabla3[[#This Row],[SERVICIO]],'SAPROV (2)'!I:J,2,FALSE)</f>
        <v>SERV0011</v>
      </c>
      <c r="N711" t="s">
        <v>927</v>
      </c>
      <c r="P711">
        <f>VLOOKUP(Tabla3[[#This Row],[FECHA]],TASA[],2,FALSE)</f>
        <v>367.31</v>
      </c>
      <c r="Q711" s="35">
        <f t="shared" si="98"/>
        <v>-59.049304402276007</v>
      </c>
      <c r="R711" t="s">
        <v>1268</v>
      </c>
    </row>
    <row r="712" spans="1:18" x14ac:dyDescent="0.25">
      <c r="A712" s="33">
        <v>46052</v>
      </c>
      <c r="B712" s="1">
        <v>820721140</v>
      </c>
      <c r="C712" s="2" t="s">
        <v>1286</v>
      </c>
      <c r="D712" s="34">
        <v>-21689.4</v>
      </c>
      <c r="E712" t="s">
        <v>20</v>
      </c>
      <c r="F712" s="2" t="e">
        <f>VLOOKUP(Tabla3[[#This Row],[CONTABLE]],'SAPROV (2)'!L:M,2,FALSE)</f>
        <v>#N/A</v>
      </c>
      <c r="H712" t="s">
        <v>1281</v>
      </c>
      <c r="I712" s="2" t="str">
        <f>VLOOKUP(Tabla3[[#This Row],[Deposito]],'SAPROV (2)'!D:E,2,FALSE)</f>
        <v>07</v>
      </c>
      <c r="K712" s="2" t="s">
        <v>101</v>
      </c>
      <c r="L712" s="2" t="str">
        <f>VLOOKUP(Tabla3[[#This Row],[PROVEEDOR]],'SAPROV (2)'!A:B,2,FALSE)</f>
        <v>36</v>
      </c>
      <c r="M712" t="str">
        <f>VLOOKUP(Tabla3[[#This Row],[SERVICIO]],'SAPROV (2)'!I:J,2,FALSE)</f>
        <v>SERV0011</v>
      </c>
      <c r="N712" t="s">
        <v>927</v>
      </c>
      <c r="P712">
        <f>VLOOKUP(Tabla3[[#This Row],[FECHA]],TASA[],2,FALSE)</f>
        <v>367.31</v>
      </c>
      <c r="Q712" s="35">
        <f t="shared" si="98"/>
        <v>-59.049304402276007</v>
      </c>
      <c r="R712" t="s">
        <v>1268</v>
      </c>
    </row>
    <row r="713" spans="1:18" x14ac:dyDescent="0.25">
      <c r="A713" s="33">
        <v>46052</v>
      </c>
      <c r="B713" s="1">
        <v>820721141</v>
      </c>
      <c r="C713" s="2" t="s">
        <v>1286</v>
      </c>
      <c r="D713" s="34">
        <v>-21689.4</v>
      </c>
      <c r="E713" t="s">
        <v>20</v>
      </c>
      <c r="F713" s="2" t="e">
        <f>VLOOKUP(Tabla3[[#This Row],[CONTABLE]],'SAPROV (2)'!L:M,2,FALSE)</f>
        <v>#N/A</v>
      </c>
      <c r="H713" t="s">
        <v>1281</v>
      </c>
      <c r="I713" s="2" t="str">
        <f>VLOOKUP(Tabla3[[#This Row],[Deposito]],'SAPROV (2)'!D:E,2,FALSE)</f>
        <v>07</v>
      </c>
      <c r="K713" s="2" t="s">
        <v>101</v>
      </c>
      <c r="L713" s="23" t="str">
        <f>VLOOKUP(Tabla3[[#This Row],[PROVEEDOR]],'SAPROV (2)'!A:B,2,FALSE)</f>
        <v>36</v>
      </c>
      <c r="M713" t="str">
        <f>VLOOKUP(Tabla3[[#This Row],[SERVICIO]],'SAPROV (2)'!I:J,2,FALSE)</f>
        <v>SERV0011</v>
      </c>
      <c r="N713" t="s">
        <v>927</v>
      </c>
      <c r="P713">
        <f>VLOOKUP(Tabla3[[#This Row],[FECHA]],TASA[],2,FALSE)</f>
        <v>367.31</v>
      </c>
      <c r="Q713" s="35">
        <f t="shared" si="98"/>
        <v>-59.049304402276007</v>
      </c>
      <c r="R713" t="s">
        <v>1268</v>
      </c>
    </row>
    <row r="714" spans="1:18" x14ac:dyDescent="0.25">
      <c r="A714" s="33">
        <v>46052</v>
      </c>
      <c r="B714" s="1">
        <v>820721142</v>
      </c>
      <c r="C714" s="2" t="s">
        <v>1286</v>
      </c>
      <c r="D714" s="34">
        <v>-21689.4</v>
      </c>
      <c r="E714" t="s">
        <v>20</v>
      </c>
      <c r="F714" s="2" t="e">
        <f>VLOOKUP(Tabla3[[#This Row],[CONTABLE]],'SAPROV (2)'!L:M,2,FALSE)</f>
        <v>#N/A</v>
      </c>
      <c r="H714" t="s">
        <v>1281</v>
      </c>
      <c r="I714" s="2" t="str">
        <f>VLOOKUP(Tabla3[[#This Row],[Deposito]],'SAPROV (2)'!D:E,2,FALSE)</f>
        <v>07</v>
      </c>
      <c r="K714" s="2" t="s">
        <v>101</v>
      </c>
      <c r="L714" s="23" t="str">
        <f>VLOOKUP(Tabla3[[#This Row],[PROVEEDOR]],'SAPROV (2)'!A:B,2,FALSE)</f>
        <v>36</v>
      </c>
      <c r="M714" t="str">
        <f>VLOOKUP(Tabla3[[#This Row],[SERVICIO]],'SAPROV (2)'!I:J,2,FALSE)</f>
        <v>SERV0011</v>
      </c>
      <c r="N714" t="s">
        <v>927</v>
      </c>
      <c r="P714">
        <f>VLOOKUP(Tabla3[[#This Row],[FECHA]],TASA[],2,FALSE)</f>
        <v>367.31</v>
      </c>
      <c r="Q714" s="35">
        <f t="shared" si="98"/>
        <v>-59.049304402276007</v>
      </c>
      <c r="R714" t="s">
        <v>1268</v>
      </c>
    </row>
    <row r="715" spans="1:18" x14ac:dyDescent="0.25">
      <c r="A715" s="33">
        <v>46052</v>
      </c>
      <c r="B715" s="1">
        <v>820721144</v>
      </c>
      <c r="C715" s="2" t="s">
        <v>1286</v>
      </c>
      <c r="D715" s="34">
        <v>-21689.4</v>
      </c>
      <c r="E715" t="s">
        <v>20</v>
      </c>
      <c r="F715" s="2" t="e">
        <f>VLOOKUP(Tabla3[[#This Row],[CONTABLE]],'SAPROV (2)'!L:M,2,FALSE)</f>
        <v>#N/A</v>
      </c>
      <c r="H715" t="s">
        <v>1281</v>
      </c>
      <c r="I715" s="2" t="str">
        <f>VLOOKUP(Tabla3[[#This Row],[Deposito]],'SAPROV (2)'!D:E,2,FALSE)</f>
        <v>07</v>
      </c>
      <c r="K715" s="2" t="s">
        <v>101</v>
      </c>
      <c r="L715" s="2" t="str">
        <f>VLOOKUP(Tabla3[[#This Row],[PROVEEDOR]],'SAPROV (2)'!A:B,2,FALSE)</f>
        <v>36</v>
      </c>
      <c r="M715" t="str">
        <f>VLOOKUP(Tabla3[[#This Row],[SERVICIO]],'SAPROV (2)'!I:J,2,FALSE)</f>
        <v>SERV0011</v>
      </c>
      <c r="N715" t="s">
        <v>927</v>
      </c>
      <c r="P715">
        <f>VLOOKUP(Tabla3[[#This Row],[FECHA]],TASA[],2,FALSE)</f>
        <v>367.31</v>
      </c>
      <c r="Q715" s="35">
        <f t="shared" si="98"/>
        <v>-59.049304402276007</v>
      </c>
      <c r="R715" t="s">
        <v>1268</v>
      </c>
    </row>
    <row r="716" spans="1:18" x14ac:dyDescent="0.25">
      <c r="A716" s="33">
        <v>46052</v>
      </c>
      <c r="B716" s="1">
        <v>820721145</v>
      </c>
      <c r="C716" s="2" t="s">
        <v>1286</v>
      </c>
      <c r="D716" s="34">
        <v>-21689.4</v>
      </c>
      <c r="E716" t="s">
        <v>20</v>
      </c>
      <c r="F716" s="2" t="e">
        <f>VLOOKUP(Tabla3[[#This Row],[CONTABLE]],'SAPROV (2)'!L:M,2,FALSE)</f>
        <v>#N/A</v>
      </c>
      <c r="H716" t="s">
        <v>1281</v>
      </c>
      <c r="I716" s="2" t="str">
        <f>VLOOKUP(Tabla3[[#This Row],[Deposito]],'SAPROV (2)'!D:E,2,FALSE)</f>
        <v>07</v>
      </c>
      <c r="K716" s="2" t="s">
        <v>101</v>
      </c>
      <c r="L716" s="23" t="str">
        <f>VLOOKUP(Tabla3[[#This Row],[PROVEEDOR]],'SAPROV (2)'!A:B,2,FALSE)</f>
        <v>36</v>
      </c>
      <c r="M716" t="str">
        <f>VLOOKUP(Tabla3[[#This Row],[SERVICIO]],'SAPROV (2)'!I:J,2,FALSE)</f>
        <v>SERV0011</v>
      </c>
      <c r="N716" t="s">
        <v>927</v>
      </c>
      <c r="P716">
        <f>VLOOKUP(Tabla3[[#This Row],[FECHA]],TASA[],2,FALSE)</f>
        <v>367.31</v>
      </c>
      <c r="Q716" s="35">
        <f t="shared" si="98"/>
        <v>-59.049304402276007</v>
      </c>
      <c r="R716" t="s">
        <v>1268</v>
      </c>
    </row>
    <row r="717" spans="1:18" x14ac:dyDescent="0.25">
      <c r="A717" s="33">
        <v>46052</v>
      </c>
      <c r="B717" s="1">
        <v>820721143</v>
      </c>
      <c r="C717" s="2" t="s">
        <v>1286</v>
      </c>
      <c r="D717" s="34">
        <v>-21689.4</v>
      </c>
      <c r="E717" t="s">
        <v>20</v>
      </c>
      <c r="F717" s="2" t="e">
        <f>VLOOKUP(Tabla3[[#This Row],[CONTABLE]],'SAPROV (2)'!L:M,2,FALSE)</f>
        <v>#N/A</v>
      </c>
      <c r="H717" t="s">
        <v>1281</v>
      </c>
      <c r="I717" s="2" t="str">
        <f>VLOOKUP(Tabla3[[#This Row],[Deposito]],'SAPROV (2)'!D:E,2,FALSE)</f>
        <v>07</v>
      </c>
      <c r="K717" s="2" t="s">
        <v>101</v>
      </c>
      <c r="L717" s="23" t="str">
        <f>VLOOKUP(Tabla3[[#This Row],[PROVEEDOR]],'SAPROV (2)'!A:B,2,FALSE)</f>
        <v>36</v>
      </c>
      <c r="M717" t="str">
        <f>VLOOKUP(Tabla3[[#This Row],[SERVICIO]],'SAPROV (2)'!I:J,2,FALSE)</f>
        <v>SERV0011</v>
      </c>
      <c r="N717" t="s">
        <v>927</v>
      </c>
      <c r="P717">
        <f>VLOOKUP(Tabla3[[#This Row],[FECHA]],TASA[],2,FALSE)</f>
        <v>367.31</v>
      </c>
      <c r="Q717" s="35">
        <f t="shared" si="98"/>
        <v>-59.049304402276007</v>
      </c>
      <c r="R717" t="s">
        <v>1268</v>
      </c>
    </row>
    <row r="718" spans="1:18" x14ac:dyDescent="0.25">
      <c r="A718" s="33">
        <v>46052</v>
      </c>
      <c r="B718" s="1">
        <v>820721146</v>
      </c>
      <c r="C718" s="2" t="s">
        <v>1286</v>
      </c>
      <c r="D718" s="34">
        <v>-21689.4</v>
      </c>
      <c r="E718" t="s">
        <v>20</v>
      </c>
      <c r="F718" s="2" t="e">
        <f>VLOOKUP(Tabla3[[#This Row],[CONTABLE]],'SAPROV (2)'!L:M,2,FALSE)</f>
        <v>#N/A</v>
      </c>
      <c r="H718" t="s">
        <v>1281</v>
      </c>
      <c r="I718" s="2" t="str">
        <f>VLOOKUP(Tabla3[[#This Row],[Deposito]],'SAPROV (2)'!D:E,2,FALSE)</f>
        <v>07</v>
      </c>
      <c r="K718" s="2" t="s">
        <v>101</v>
      </c>
      <c r="L718" s="2" t="str">
        <f>VLOOKUP(Tabla3[[#This Row],[PROVEEDOR]],'SAPROV (2)'!A:B,2,FALSE)</f>
        <v>36</v>
      </c>
      <c r="M718" t="str">
        <f>VLOOKUP(Tabla3[[#This Row],[SERVICIO]],'SAPROV (2)'!I:J,2,FALSE)</f>
        <v>SERV0011</v>
      </c>
      <c r="N718" t="s">
        <v>927</v>
      </c>
      <c r="P718">
        <f>VLOOKUP(Tabla3[[#This Row],[FECHA]],TASA[],2,FALSE)</f>
        <v>367.31</v>
      </c>
      <c r="Q718" s="35">
        <f t="shared" si="98"/>
        <v>-59.049304402276007</v>
      </c>
      <c r="R718" t="s">
        <v>1268</v>
      </c>
    </row>
    <row r="719" spans="1:18" x14ac:dyDescent="0.25">
      <c r="A719" s="33">
        <v>46052</v>
      </c>
      <c r="B719" s="1">
        <v>920721147</v>
      </c>
      <c r="C719" s="2" t="s">
        <v>1286</v>
      </c>
      <c r="D719" s="34">
        <v>-21689.4</v>
      </c>
      <c r="E719" t="s">
        <v>20</v>
      </c>
      <c r="F719" s="2" t="e">
        <f>VLOOKUP(Tabla3[[#This Row],[CONTABLE]],'SAPROV (2)'!L:M,2,FALSE)</f>
        <v>#N/A</v>
      </c>
      <c r="H719" t="s">
        <v>1281</v>
      </c>
      <c r="I719" s="2" t="str">
        <f>VLOOKUP(Tabla3[[#This Row],[Deposito]],'SAPROV (2)'!D:E,2,FALSE)</f>
        <v>07</v>
      </c>
      <c r="K719" s="2" t="s">
        <v>101</v>
      </c>
      <c r="L719" s="23" t="str">
        <f>VLOOKUP(Tabla3[[#This Row],[PROVEEDOR]],'SAPROV (2)'!A:B,2,FALSE)</f>
        <v>36</v>
      </c>
      <c r="M719" t="str">
        <f>VLOOKUP(Tabla3[[#This Row],[SERVICIO]],'SAPROV (2)'!I:J,2,FALSE)</f>
        <v>SERV0011</v>
      </c>
      <c r="N719" t="s">
        <v>927</v>
      </c>
      <c r="P719">
        <f>VLOOKUP(Tabla3[[#This Row],[FECHA]],TASA[],2,FALSE)</f>
        <v>367.31</v>
      </c>
      <c r="Q719" s="35">
        <f t="shared" si="98"/>
        <v>-59.049304402276007</v>
      </c>
      <c r="R719" t="s">
        <v>1268</v>
      </c>
    </row>
    <row r="720" spans="1:18" x14ac:dyDescent="0.25">
      <c r="A720" s="33">
        <v>46052</v>
      </c>
      <c r="B720" s="1">
        <v>920721148</v>
      </c>
      <c r="C720" s="2" t="s">
        <v>1286</v>
      </c>
      <c r="D720" s="34">
        <v>-21689.4</v>
      </c>
      <c r="E720" t="s">
        <v>20</v>
      </c>
      <c r="F720" s="2" t="e">
        <f>VLOOKUP(Tabla3[[#This Row],[CONTABLE]],'SAPROV (2)'!L:M,2,FALSE)</f>
        <v>#N/A</v>
      </c>
      <c r="H720" t="s">
        <v>1281</v>
      </c>
      <c r="I720" s="2" t="str">
        <f>VLOOKUP(Tabla3[[#This Row],[Deposito]],'SAPROV (2)'!D:E,2,FALSE)</f>
        <v>07</v>
      </c>
      <c r="K720" s="2" t="s">
        <v>101</v>
      </c>
      <c r="L720" s="23" t="str">
        <f>VLOOKUP(Tabla3[[#This Row],[PROVEEDOR]],'SAPROV (2)'!A:B,2,FALSE)</f>
        <v>36</v>
      </c>
      <c r="M720" t="str">
        <f>VLOOKUP(Tabla3[[#This Row],[SERVICIO]],'SAPROV (2)'!I:J,2,FALSE)</f>
        <v>SERV0011</v>
      </c>
      <c r="N720" t="s">
        <v>927</v>
      </c>
      <c r="P720">
        <f>VLOOKUP(Tabla3[[#This Row],[FECHA]],TASA[],2,FALSE)</f>
        <v>367.31</v>
      </c>
      <c r="Q720" s="35">
        <f t="shared" si="98"/>
        <v>-59.049304402276007</v>
      </c>
      <c r="R720" t="s">
        <v>1268</v>
      </c>
    </row>
    <row r="721" spans="1:18" x14ac:dyDescent="0.25">
      <c r="A721" s="33">
        <v>46052</v>
      </c>
      <c r="B721" s="1">
        <v>920721149</v>
      </c>
      <c r="C721" s="2" t="s">
        <v>1286</v>
      </c>
      <c r="D721" s="34">
        <v>-21689.4</v>
      </c>
      <c r="E721" t="s">
        <v>20</v>
      </c>
      <c r="F721" s="2" t="e">
        <f>VLOOKUP(Tabla3[[#This Row],[CONTABLE]],'SAPROV (2)'!L:M,2,FALSE)</f>
        <v>#N/A</v>
      </c>
      <c r="H721" t="s">
        <v>1281</v>
      </c>
      <c r="I721" s="2" t="str">
        <f>VLOOKUP(Tabla3[[#This Row],[Deposito]],'SAPROV (2)'!D:E,2,FALSE)</f>
        <v>07</v>
      </c>
      <c r="K721" s="2" t="s">
        <v>101</v>
      </c>
      <c r="L721" s="2" t="str">
        <f>VLOOKUP(Tabla3[[#This Row],[PROVEEDOR]],'SAPROV (2)'!A:B,2,FALSE)</f>
        <v>36</v>
      </c>
      <c r="M721" t="str">
        <f>VLOOKUP(Tabla3[[#This Row],[SERVICIO]],'SAPROV (2)'!I:J,2,FALSE)</f>
        <v>SERV0011</v>
      </c>
      <c r="N721" t="s">
        <v>927</v>
      </c>
      <c r="P721">
        <f>VLOOKUP(Tabla3[[#This Row],[FECHA]],TASA[],2,FALSE)</f>
        <v>367.31</v>
      </c>
      <c r="Q721" s="35">
        <f t="shared" si="98"/>
        <v>-59.049304402276007</v>
      </c>
      <c r="R721" t="s">
        <v>1268</v>
      </c>
    </row>
    <row r="722" spans="1:18" x14ac:dyDescent="0.25">
      <c r="A722" s="33">
        <v>46052</v>
      </c>
      <c r="B722" s="1">
        <v>920721152</v>
      </c>
      <c r="C722" s="2" t="s">
        <v>1286</v>
      </c>
      <c r="D722" s="34">
        <v>-21689.4</v>
      </c>
      <c r="E722" t="s">
        <v>20</v>
      </c>
      <c r="F722" s="2" t="e">
        <f>VLOOKUP(Tabla3[[#This Row],[CONTABLE]],'SAPROV (2)'!L:M,2,FALSE)</f>
        <v>#N/A</v>
      </c>
      <c r="H722" t="s">
        <v>1281</v>
      </c>
      <c r="I722" s="2" t="str">
        <f>VLOOKUP(Tabla3[[#This Row],[Deposito]],'SAPROV (2)'!D:E,2,FALSE)</f>
        <v>07</v>
      </c>
      <c r="K722" s="2" t="s">
        <v>101</v>
      </c>
      <c r="L722" s="23" t="str">
        <f>VLOOKUP(Tabla3[[#This Row],[PROVEEDOR]],'SAPROV (2)'!A:B,2,FALSE)</f>
        <v>36</v>
      </c>
      <c r="M722" t="str">
        <f>VLOOKUP(Tabla3[[#This Row],[SERVICIO]],'SAPROV (2)'!I:J,2,FALSE)</f>
        <v>SERV0011</v>
      </c>
      <c r="N722" t="s">
        <v>927</v>
      </c>
      <c r="P722">
        <f>VLOOKUP(Tabla3[[#This Row],[FECHA]],TASA[],2,FALSE)</f>
        <v>367.31</v>
      </c>
      <c r="Q722" s="35">
        <f t="shared" si="98"/>
        <v>-59.049304402276007</v>
      </c>
      <c r="R722" t="s">
        <v>1268</v>
      </c>
    </row>
    <row r="723" spans="1:18" x14ac:dyDescent="0.25">
      <c r="A723" s="33">
        <v>46052</v>
      </c>
      <c r="B723" s="1">
        <v>920721151</v>
      </c>
      <c r="C723" s="2" t="s">
        <v>1286</v>
      </c>
      <c r="D723" s="34">
        <v>-21689.4</v>
      </c>
      <c r="E723" t="s">
        <v>20</v>
      </c>
      <c r="F723" s="2" t="e">
        <f>VLOOKUP(Tabla3[[#This Row],[CONTABLE]],'SAPROV (2)'!L:M,2,FALSE)</f>
        <v>#N/A</v>
      </c>
      <c r="H723" t="s">
        <v>1281</v>
      </c>
      <c r="I723" s="2" t="str">
        <f>VLOOKUP(Tabla3[[#This Row],[Deposito]],'SAPROV (2)'!D:E,2,FALSE)</f>
        <v>07</v>
      </c>
      <c r="K723" s="2" t="s">
        <v>101</v>
      </c>
      <c r="L723" s="23" t="str">
        <f>VLOOKUP(Tabla3[[#This Row],[PROVEEDOR]],'SAPROV (2)'!A:B,2,FALSE)</f>
        <v>36</v>
      </c>
      <c r="M723" t="str">
        <f>VLOOKUP(Tabla3[[#This Row],[SERVICIO]],'SAPROV (2)'!I:J,2,FALSE)</f>
        <v>SERV0011</v>
      </c>
      <c r="N723" t="s">
        <v>927</v>
      </c>
      <c r="P723">
        <f>VLOOKUP(Tabla3[[#This Row],[FECHA]],TASA[],2,FALSE)</f>
        <v>367.31</v>
      </c>
      <c r="Q723" s="35">
        <f t="shared" si="98"/>
        <v>-59.049304402276007</v>
      </c>
      <c r="R723" t="s">
        <v>1268</v>
      </c>
    </row>
    <row r="724" spans="1:18" x14ac:dyDescent="0.25">
      <c r="A724" s="33">
        <v>46052</v>
      </c>
      <c r="B724" s="1">
        <v>920721150</v>
      </c>
      <c r="C724" s="2" t="s">
        <v>1286</v>
      </c>
      <c r="D724" s="34">
        <v>-21689.4</v>
      </c>
      <c r="E724" t="s">
        <v>20</v>
      </c>
      <c r="F724" s="2" t="e">
        <f>VLOOKUP(Tabla3[[#This Row],[CONTABLE]],'SAPROV (2)'!L:M,2,FALSE)</f>
        <v>#N/A</v>
      </c>
      <c r="H724" t="s">
        <v>1281</v>
      </c>
      <c r="I724" s="2" t="str">
        <f>VLOOKUP(Tabla3[[#This Row],[Deposito]],'SAPROV (2)'!D:E,2,FALSE)</f>
        <v>07</v>
      </c>
      <c r="K724" s="2" t="s">
        <v>101</v>
      </c>
      <c r="L724" s="2" t="str">
        <f>VLOOKUP(Tabla3[[#This Row],[PROVEEDOR]],'SAPROV (2)'!A:B,2,FALSE)</f>
        <v>36</v>
      </c>
      <c r="M724" t="str">
        <f>VLOOKUP(Tabla3[[#This Row],[SERVICIO]],'SAPROV (2)'!I:J,2,FALSE)</f>
        <v>SERV0011</v>
      </c>
      <c r="N724" t="s">
        <v>927</v>
      </c>
      <c r="P724">
        <f>VLOOKUP(Tabla3[[#This Row],[FECHA]],TASA[],2,FALSE)</f>
        <v>367.31</v>
      </c>
      <c r="Q724" s="35">
        <f t="shared" si="98"/>
        <v>-59.049304402276007</v>
      </c>
      <c r="R724" t="s">
        <v>1268</v>
      </c>
    </row>
    <row r="725" spans="1:18" x14ac:dyDescent="0.25">
      <c r="A725" s="33">
        <v>46052</v>
      </c>
      <c r="B725" s="1">
        <v>920721153</v>
      </c>
      <c r="C725" s="2" t="s">
        <v>1286</v>
      </c>
      <c r="D725" s="34">
        <v>-21689.4</v>
      </c>
      <c r="E725" t="s">
        <v>20</v>
      </c>
      <c r="F725" s="2" t="e">
        <f>VLOOKUP(Tabla3[[#This Row],[CONTABLE]],'SAPROV (2)'!L:M,2,FALSE)</f>
        <v>#N/A</v>
      </c>
      <c r="H725" t="s">
        <v>1281</v>
      </c>
      <c r="I725" s="2" t="str">
        <f>VLOOKUP(Tabla3[[#This Row],[Deposito]],'SAPROV (2)'!D:E,2,FALSE)</f>
        <v>07</v>
      </c>
      <c r="K725" s="2" t="s">
        <v>101</v>
      </c>
      <c r="L725" s="23" t="str">
        <f>VLOOKUP(Tabla3[[#This Row],[PROVEEDOR]],'SAPROV (2)'!A:B,2,FALSE)</f>
        <v>36</v>
      </c>
      <c r="M725" t="str">
        <f>VLOOKUP(Tabla3[[#This Row],[SERVICIO]],'SAPROV (2)'!I:J,2,FALSE)</f>
        <v>SERV0011</v>
      </c>
      <c r="N725" t="s">
        <v>927</v>
      </c>
      <c r="P725">
        <f>VLOOKUP(Tabla3[[#This Row],[FECHA]],TASA[],2,FALSE)</f>
        <v>367.31</v>
      </c>
      <c r="Q725" s="35">
        <f t="shared" si="98"/>
        <v>-59.049304402276007</v>
      </c>
      <c r="R725" t="s">
        <v>1268</v>
      </c>
    </row>
    <row r="726" spans="1:18" x14ac:dyDescent="0.25">
      <c r="A726" s="33">
        <v>46052</v>
      </c>
      <c r="B726" s="1">
        <v>920721154</v>
      </c>
      <c r="C726" s="2" t="s">
        <v>1286</v>
      </c>
      <c r="D726" s="34">
        <v>-21689.4</v>
      </c>
      <c r="E726" t="s">
        <v>20</v>
      </c>
      <c r="F726" s="2" t="e">
        <f>VLOOKUP(Tabla3[[#This Row],[CONTABLE]],'SAPROV (2)'!L:M,2,FALSE)</f>
        <v>#N/A</v>
      </c>
      <c r="H726" t="s">
        <v>1281</v>
      </c>
      <c r="I726" s="2" t="str">
        <f>VLOOKUP(Tabla3[[#This Row],[Deposito]],'SAPROV (2)'!D:E,2,FALSE)</f>
        <v>07</v>
      </c>
      <c r="K726" s="2" t="s">
        <v>101</v>
      </c>
      <c r="L726" s="23" t="str">
        <f>VLOOKUP(Tabla3[[#This Row],[PROVEEDOR]],'SAPROV (2)'!A:B,2,FALSE)</f>
        <v>36</v>
      </c>
      <c r="M726" t="str">
        <f>VLOOKUP(Tabla3[[#This Row],[SERVICIO]],'SAPROV (2)'!I:J,2,FALSE)</f>
        <v>SERV0011</v>
      </c>
      <c r="N726" t="s">
        <v>927</v>
      </c>
      <c r="P726">
        <f>VLOOKUP(Tabla3[[#This Row],[FECHA]],TASA[],2,FALSE)</f>
        <v>367.31</v>
      </c>
      <c r="Q726" s="35">
        <f t="shared" si="98"/>
        <v>-59.049304402276007</v>
      </c>
      <c r="R726" t="s">
        <v>1268</v>
      </c>
    </row>
    <row r="727" spans="1:18" x14ac:dyDescent="0.25">
      <c r="A727" s="33">
        <v>46052</v>
      </c>
      <c r="B727" s="1">
        <v>920721155</v>
      </c>
      <c r="C727" s="2" t="s">
        <v>1287</v>
      </c>
      <c r="D727" s="34">
        <v>-21689.4</v>
      </c>
      <c r="E727" t="s">
        <v>20</v>
      </c>
      <c r="F727" s="2" t="e">
        <f>VLOOKUP(Tabla3[[#This Row],[CONTABLE]],'SAPROV (2)'!L:M,2,FALSE)</f>
        <v>#N/A</v>
      </c>
      <c r="H727" t="s">
        <v>1274</v>
      </c>
      <c r="I727" s="2" t="str">
        <f>VLOOKUP(Tabla3[[#This Row],[Deposito]],'SAPROV (2)'!D:E,2,FALSE)</f>
        <v>02</v>
      </c>
      <c r="K727" s="2" t="s">
        <v>101</v>
      </c>
      <c r="L727" s="2" t="str">
        <f>VLOOKUP(Tabla3[[#This Row],[PROVEEDOR]],'SAPROV (2)'!A:B,2,FALSE)</f>
        <v>36</v>
      </c>
      <c r="M727" t="str">
        <f>VLOOKUP(Tabla3[[#This Row],[SERVICIO]],'SAPROV (2)'!I:J,2,FALSE)</f>
        <v>SERV0011</v>
      </c>
      <c r="N727" t="s">
        <v>927</v>
      </c>
      <c r="P727">
        <f>VLOOKUP(Tabla3[[#This Row],[FECHA]],TASA[],2,FALSE)</f>
        <v>367.31</v>
      </c>
      <c r="Q727" s="35">
        <f t="shared" si="98"/>
        <v>-59.049304402276007</v>
      </c>
      <c r="R727" t="s">
        <v>1268</v>
      </c>
    </row>
    <row r="728" spans="1:18" x14ac:dyDescent="0.25">
      <c r="A728" s="33">
        <v>46052</v>
      </c>
      <c r="B728" s="1">
        <v>20721156</v>
      </c>
      <c r="C728" s="2" t="s">
        <v>1287</v>
      </c>
      <c r="D728" s="34">
        <v>-21689.4</v>
      </c>
      <c r="E728" t="s">
        <v>20</v>
      </c>
      <c r="F728" s="2" t="e">
        <f>VLOOKUP(Tabla3[[#This Row],[CONTABLE]],'SAPROV (2)'!L:M,2,FALSE)</f>
        <v>#N/A</v>
      </c>
      <c r="H728" t="s">
        <v>1274</v>
      </c>
      <c r="I728" s="2" t="str">
        <f>VLOOKUP(Tabla3[[#This Row],[Deposito]],'SAPROV (2)'!D:E,2,FALSE)</f>
        <v>02</v>
      </c>
      <c r="K728" s="2" t="s">
        <v>101</v>
      </c>
      <c r="L728" s="23" t="str">
        <f>VLOOKUP(Tabla3[[#This Row],[PROVEEDOR]],'SAPROV (2)'!A:B,2,FALSE)</f>
        <v>36</v>
      </c>
      <c r="M728" t="str">
        <f>VLOOKUP(Tabla3[[#This Row],[SERVICIO]],'SAPROV (2)'!I:J,2,FALSE)</f>
        <v>SERV0011</v>
      </c>
      <c r="N728" t="s">
        <v>927</v>
      </c>
      <c r="P728">
        <f>VLOOKUP(Tabla3[[#This Row],[FECHA]],TASA[],2,FALSE)</f>
        <v>367.31</v>
      </c>
      <c r="Q728" s="35">
        <f t="shared" si="98"/>
        <v>-59.049304402276007</v>
      </c>
      <c r="R728" t="s">
        <v>1268</v>
      </c>
    </row>
    <row r="729" spans="1:18" x14ac:dyDescent="0.25">
      <c r="A729" s="33">
        <v>46052</v>
      </c>
      <c r="B729" s="1">
        <v>20721159</v>
      </c>
      <c r="C729" s="2" t="s">
        <v>1287</v>
      </c>
      <c r="D729" s="34">
        <v>-21689.4</v>
      </c>
      <c r="E729" t="s">
        <v>20</v>
      </c>
      <c r="F729" s="2" t="e">
        <f>VLOOKUP(Tabla3[[#This Row],[CONTABLE]],'SAPROV (2)'!L:M,2,FALSE)</f>
        <v>#N/A</v>
      </c>
      <c r="H729" t="s">
        <v>1274</v>
      </c>
      <c r="I729" s="2" t="str">
        <f>VLOOKUP(Tabla3[[#This Row],[Deposito]],'SAPROV (2)'!D:E,2,FALSE)</f>
        <v>02</v>
      </c>
      <c r="K729" s="2" t="s">
        <v>101</v>
      </c>
      <c r="L729" s="23" t="str">
        <f>VLOOKUP(Tabla3[[#This Row],[PROVEEDOR]],'SAPROV (2)'!A:B,2,FALSE)</f>
        <v>36</v>
      </c>
      <c r="M729" t="str">
        <f>VLOOKUP(Tabla3[[#This Row],[SERVICIO]],'SAPROV (2)'!I:J,2,FALSE)</f>
        <v>SERV0011</v>
      </c>
      <c r="N729" t="s">
        <v>927</v>
      </c>
      <c r="P729">
        <f>VLOOKUP(Tabla3[[#This Row],[FECHA]],TASA[],2,FALSE)</f>
        <v>367.31</v>
      </c>
      <c r="Q729" s="35">
        <f t="shared" si="98"/>
        <v>-59.049304402276007</v>
      </c>
      <c r="R729" t="s">
        <v>1268</v>
      </c>
    </row>
    <row r="730" spans="1:18" x14ac:dyDescent="0.25">
      <c r="A730" s="33">
        <v>46052</v>
      </c>
      <c r="B730" s="1">
        <v>20721158</v>
      </c>
      <c r="C730" s="2" t="s">
        <v>1287</v>
      </c>
      <c r="D730" s="34">
        <v>-21689.4</v>
      </c>
      <c r="E730" t="s">
        <v>20</v>
      </c>
      <c r="F730" s="2" t="e">
        <f>VLOOKUP(Tabla3[[#This Row],[CONTABLE]],'SAPROV (2)'!L:M,2,FALSE)</f>
        <v>#N/A</v>
      </c>
      <c r="H730" t="s">
        <v>1274</v>
      </c>
      <c r="I730" s="2" t="str">
        <f>VLOOKUP(Tabla3[[#This Row],[Deposito]],'SAPROV (2)'!D:E,2,FALSE)</f>
        <v>02</v>
      </c>
      <c r="K730" s="2" t="s">
        <v>101</v>
      </c>
      <c r="L730" s="2" t="str">
        <f>VLOOKUP(Tabla3[[#This Row],[PROVEEDOR]],'SAPROV (2)'!A:B,2,FALSE)</f>
        <v>36</v>
      </c>
      <c r="M730" t="str">
        <f>VLOOKUP(Tabla3[[#This Row],[SERVICIO]],'SAPROV (2)'!I:J,2,FALSE)</f>
        <v>SERV0011</v>
      </c>
      <c r="N730" t="s">
        <v>927</v>
      </c>
      <c r="P730">
        <f>VLOOKUP(Tabla3[[#This Row],[FECHA]],TASA[],2,FALSE)</f>
        <v>367.31</v>
      </c>
      <c r="Q730" s="35">
        <f t="shared" si="98"/>
        <v>-59.049304402276007</v>
      </c>
      <c r="R730" t="s">
        <v>1268</v>
      </c>
    </row>
    <row r="731" spans="1:18" x14ac:dyDescent="0.25">
      <c r="A731" s="33">
        <v>46052</v>
      </c>
      <c r="B731" s="1">
        <v>20721157</v>
      </c>
      <c r="C731" s="2" t="s">
        <v>1287</v>
      </c>
      <c r="D731" s="34">
        <v>-21689.4</v>
      </c>
      <c r="E731" t="s">
        <v>20</v>
      </c>
      <c r="F731" s="2" t="e">
        <f>VLOOKUP(Tabla3[[#This Row],[CONTABLE]],'SAPROV (2)'!L:M,2,FALSE)</f>
        <v>#N/A</v>
      </c>
      <c r="H731" t="s">
        <v>1274</v>
      </c>
      <c r="I731" s="2" t="str">
        <f>VLOOKUP(Tabla3[[#This Row],[Deposito]],'SAPROV (2)'!D:E,2,FALSE)</f>
        <v>02</v>
      </c>
      <c r="K731" s="2" t="s">
        <v>101</v>
      </c>
      <c r="L731" s="23" t="str">
        <f>VLOOKUP(Tabla3[[#This Row],[PROVEEDOR]],'SAPROV (2)'!A:B,2,FALSE)</f>
        <v>36</v>
      </c>
      <c r="M731" t="str">
        <f>VLOOKUP(Tabla3[[#This Row],[SERVICIO]],'SAPROV (2)'!I:J,2,FALSE)</f>
        <v>SERV0011</v>
      </c>
      <c r="N731" t="s">
        <v>927</v>
      </c>
      <c r="P731">
        <f>VLOOKUP(Tabla3[[#This Row],[FECHA]],TASA[],2,FALSE)</f>
        <v>367.31</v>
      </c>
      <c r="Q731" s="35">
        <f t="shared" si="98"/>
        <v>-59.049304402276007</v>
      </c>
      <c r="R731" t="s">
        <v>1268</v>
      </c>
    </row>
    <row r="732" spans="1:18" x14ac:dyDescent="0.25">
      <c r="A732" s="33">
        <v>46052</v>
      </c>
      <c r="B732" s="1">
        <v>20721160</v>
      </c>
      <c r="C732" s="2" t="s">
        <v>1287</v>
      </c>
      <c r="D732" s="34">
        <v>-21689.4</v>
      </c>
      <c r="E732" t="s">
        <v>20</v>
      </c>
      <c r="F732" s="2" t="e">
        <f>VLOOKUP(Tabla3[[#This Row],[CONTABLE]],'SAPROV (2)'!L:M,2,FALSE)</f>
        <v>#N/A</v>
      </c>
      <c r="H732" t="s">
        <v>1274</v>
      </c>
      <c r="I732" s="2" t="str">
        <f>VLOOKUP(Tabla3[[#This Row],[Deposito]],'SAPROV (2)'!D:E,2,FALSE)</f>
        <v>02</v>
      </c>
      <c r="K732" s="2" t="s">
        <v>101</v>
      </c>
      <c r="L732" s="23" t="str">
        <f>VLOOKUP(Tabla3[[#This Row],[PROVEEDOR]],'SAPROV (2)'!A:B,2,FALSE)</f>
        <v>36</v>
      </c>
      <c r="M732" t="str">
        <f>VLOOKUP(Tabla3[[#This Row],[SERVICIO]],'SAPROV (2)'!I:J,2,FALSE)</f>
        <v>SERV0011</v>
      </c>
      <c r="N732" t="s">
        <v>927</v>
      </c>
      <c r="P732">
        <f>VLOOKUP(Tabla3[[#This Row],[FECHA]],TASA[],2,FALSE)</f>
        <v>367.31</v>
      </c>
      <c r="Q732" s="35">
        <f t="shared" ref="Q732:Q763" si="99">D732/P732</f>
        <v>-59.049304402276007</v>
      </c>
      <c r="R732" t="s">
        <v>1268</v>
      </c>
    </row>
    <row r="733" spans="1:18" x14ac:dyDescent="0.25">
      <c r="A733" s="33">
        <v>46052</v>
      </c>
      <c r="B733" s="1">
        <v>20721162</v>
      </c>
      <c r="C733" s="2" t="s">
        <v>1287</v>
      </c>
      <c r="D733" s="34">
        <v>-21689.4</v>
      </c>
      <c r="E733" t="s">
        <v>20</v>
      </c>
      <c r="F733" s="2" t="e">
        <f>VLOOKUP(Tabla3[[#This Row],[CONTABLE]],'SAPROV (2)'!L:M,2,FALSE)</f>
        <v>#N/A</v>
      </c>
      <c r="H733" t="s">
        <v>1274</v>
      </c>
      <c r="I733" s="2" t="str">
        <f>VLOOKUP(Tabla3[[#This Row],[Deposito]],'SAPROV (2)'!D:E,2,FALSE)</f>
        <v>02</v>
      </c>
      <c r="K733" s="2" t="s">
        <v>101</v>
      </c>
      <c r="L733" s="2" t="str">
        <f>VLOOKUP(Tabla3[[#This Row],[PROVEEDOR]],'SAPROV (2)'!A:B,2,FALSE)</f>
        <v>36</v>
      </c>
      <c r="M733" t="str">
        <f>VLOOKUP(Tabla3[[#This Row],[SERVICIO]],'SAPROV (2)'!I:J,2,FALSE)</f>
        <v>SERV0011</v>
      </c>
      <c r="N733" t="s">
        <v>927</v>
      </c>
      <c r="P733">
        <f>VLOOKUP(Tabla3[[#This Row],[FECHA]],TASA[],2,FALSE)</f>
        <v>367.31</v>
      </c>
      <c r="Q733" s="35">
        <f t="shared" si="99"/>
        <v>-59.049304402276007</v>
      </c>
      <c r="R733" t="s">
        <v>1268</v>
      </c>
    </row>
    <row r="734" spans="1:18" x14ac:dyDescent="0.25">
      <c r="A734" s="33">
        <v>46052</v>
      </c>
      <c r="B734" s="1">
        <v>20721161</v>
      </c>
      <c r="C734" s="2" t="s">
        <v>1288</v>
      </c>
      <c r="D734" s="34">
        <v>-21689.4</v>
      </c>
      <c r="E734" t="s">
        <v>20</v>
      </c>
      <c r="F734" s="2" t="e">
        <f>VLOOKUP(Tabla3[[#This Row],[CONTABLE]],'SAPROV (2)'!L:M,2,FALSE)</f>
        <v>#N/A</v>
      </c>
      <c r="H734" t="s">
        <v>1280</v>
      </c>
      <c r="I734" s="2" t="str">
        <f>VLOOKUP(Tabla3[[#This Row],[Deposito]],'SAPROV (2)'!D:E,2,FALSE)</f>
        <v>01</v>
      </c>
      <c r="K734" s="2" t="s">
        <v>101</v>
      </c>
      <c r="L734" s="23" t="str">
        <f>VLOOKUP(Tabla3[[#This Row],[PROVEEDOR]],'SAPROV (2)'!A:B,2,FALSE)</f>
        <v>36</v>
      </c>
      <c r="M734" t="str">
        <f>VLOOKUP(Tabla3[[#This Row],[SERVICIO]],'SAPROV (2)'!I:J,2,FALSE)</f>
        <v>SERV0011</v>
      </c>
      <c r="N734" t="s">
        <v>927</v>
      </c>
      <c r="P734">
        <f>VLOOKUP(Tabla3[[#This Row],[FECHA]],TASA[],2,FALSE)</f>
        <v>367.31</v>
      </c>
      <c r="Q734" s="35">
        <f t="shared" si="99"/>
        <v>-59.049304402276007</v>
      </c>
      <c r="R734" t="s">
        <v>1268</v>
      </c>
    </row>
    <row r="735" spans="1:18" x14ac:dyDescent="0.25">
      <c r="A735" s="33">
        <v>46052</v>
      </c>
      <c r="B735" s="1">
        <v>20721164</v>
      </c>
      <c r="C735" s="2" t="s">
        <v>1288</v>
      </c>
      <c r="D735" s="34">
        <v>-21689.4</v>
      </c>
      <c r="E735" t="s">
        <v>20</v>
      </c>
      <c r="F735" s="2" t="e">
        <f>VLOOKUP(Tabla3[[#This Row],[CONTABLE]],'SAPROV (2)'!L:M,2,FALSE)</f>
        <v>#N/A</v>
      </c>
      <c r="H735" t="s">
        <v>1280</v>
      </c>
      <c r="I735" s="2" t="str">
        <f>VLOOKUP(Tabla3[[#This Row],[Deposito]],'SAPROV (2)'!D:E,2,FALSE)</f>
        <v>01</v>
      </c>
      <c r="K735" s="2" t="s">
        <v>101</v>
      </c>
      <c r="L735" s="23" t="str">
        <f>VLOOKUP(Tabla3[[#This Row],[PROVEEDOR]],'SAPROV (2)'!A:B,2,FALSE)</f>
        <v>36</v>
      </c>
      <c r="M735" t="str">
        <f>VLOOKUP(Tabla3[[#This Row],[SERVICIO]],'SAPROV (2)'!I:J,2,FALSE)</f>
        <v>SERV0011</v>
      </c>
      <c r="N735" t="s">
        <v>927</v>
      </c>
      <c r="P735">
        <f>VLOOKUP(Tabla3[[#This Row],[FECHA]],TASA[],2,FALSE)</f>
        <v>367.31</v>
      </c>
      <c r="Q735" s="35">
        <f t="shared" si="99"/>
        <v>-59.049304402276007</v>
      </c>
      <c r="R735" t="s">
        <v>1268</v>
      </c>
    </row>
    <row r="736" spans="1:18" x14ac:dyDescent="0.25">
      <c r="A736" s="33">
        <v>46052</v>
      </c>
      <c r="B736" s="1">
        <v>20721163</v>
      </c>
      <c r="C736" s="2" t="s">
        <v>1288</v>
      </c>
      <c r="D736" s="34">
        <v>-21689.4</v>
      </c>
      <c r="E736" t="s">
        <v>20</v>
      </c>
      <c r="F736" s="2" t="e">
        <f>VLOOKUP(Tabla3[[#This Row],[CONTABLE]],'SAPROV (2)'!L:M,2,FALSE)</f>
        <v>#N/A</v>
      </c>
      <c r="H736" t="s">
        <v>1280</v>
      </c>
      <c r="I736" s="2" t="str">
        <f>VLOOKUP(Tabla3[[#This Row],[Deposito]],'SAPROV (2)'!D:E,2,FALSE)</f>
        <v>01</v>
      </c>
      <c r="K736" s="2" t="s">
        <v>101</v>
      </c>
      <c r="L736" s="2" t="str">
        <f>VLOOKUP(Tabla3[[#This Row],[PROVEEDOR]],'SAPROV (2)'!A:B,2,FALSE)</f>
        <v>36</v>
      </c>
      <c r="M736" t="str">
        <f>VLOOKUP(Tabla3[[#This Row],[SERVICIO]],'SAPROV (2)'!I:J,2,FALSE)</f>
        <v>SERV0011</v>
      </c>
      <c r="N736" t="s">
        <v>927</v>
      </c>
      <c r="P736">
        <f>VLOOKUP(Tabla3[[#This Row],[FECHA]],TASA[],2,FALSE)</f>
        <v>367.31</v>
      </c>
      <c r="Q736" s="35">
        <f t="shared" si="99"/>
        <v>-59.049304402276007</v>
      </c>
      <c r="R736" t="s">
        <v>1268</v>
      </c>
    </row>
    <row r="737" spans="1:18" x14ac:dyDescent="0.25">
      <c r="A737" s="33">
        <v>46052</v>
      </c>
      <c r="B737" s="1">
        <v>20721165</v>
      </c>
      <c r="C737" s="2" t="s">
        <v>1288</v>
      </c>
      <c r="D737" s="34">
        <v>-21689.4</v>
      </c>
      <c r="E737" t="s">
        <v>20</v>
      </c>
      <c r="F737" s="2" t="e">
        <f>VLOOKUP(Tabla3[[#This Row],[CONTABLE]],'SAPROV (2)'!L:M,2,FALSE)</f>
        <v>#N/A</v>
      </c>
      <c r="H737" t="s">
        <v>1280</v>
      </c>
      <c r="I737" s="2" t="str">
        <f>VLOOKUP(Tabla3[[#This Row],[Deposito]],'SAPROV (2)'!D:E,2,FALSE)</f>
        <v>01</v>
      </c>
      <c r="K737" s="2" t="s">
        <v>101</v>
      </c>
      <c r="L737" s="23" t="str">
        <f>VLOOKUP(Tabla3[[#This Row],[PROVEEDOR]],'SAPROV (2)'!A:B,2,FALSE)</f>
        <v>36</v>
      </c>
      <c r="M737" t="str">
        <f>VLOOKUP(Tabla3[[#This Row],[SERVICIO]],'SAPROV (2)'!I:J,2,FALSE)</f>
        <v>SERV0011</v>
      </c>
      <c r="N737" t="s">
        <v>927</v>
      </c>
      <c r="P737">
        <f>VLOOKUP(Tabla3[[#This Row],[FECHA]],TASA[],2,FALSE)</f>
        <v>367.31</v>
      </c>
      <c r="Q737" s="35">
        <f t="shared" si="99"/>
        <v>-59.049304402276007</v>
      </c>
      <c r="R737" t="s">
        <v>1268</v>
      </c>
    </row>
    <row r="738" spans="1:18" x14ac:dyDescent="0.25">
      <c r="A738" s="33">
        <v>46052</v>
      </c>
      <c r="B738" s="1">
        <v>120721167</v>
      </c>
      <c r="C738" s="2" t="s">
        <v>1288</v>
      </c>
      <c r="D738" s="34">
        <v>-21689.4</v>
      </c>
      <c r="E738" t="s">
        <v>20</v>
      </c>
      <c r="F738" s="2" t="e">
        <f>VLOOKUP(Tabla3[[#This Row],[CONTABLE]],'SAPROV (2)'!L:M,2,FALSE)</f>
        <v>#N/A</v>
      </c>
      <c r="H738" t="s">
        <v>1280</v>
      </c>
      <c r="I738" s="2" t="str">
        <f>VLOOKUP(Tabla3[[#This Row],[Deposito]],'SAPROV (2)'!D:E,2,FALSE)</f>
        <v>01</v>
      </c>
      <c r="K738" s="2" t="s">
        <v>101</v>
      </c>
      <c r="L738" s="23" t="str">
        <f>VLOOKUP(Tabla3[[#This Row],[PROVEEDOR]],'SAPROV (2)'!A:B,2,FALSE)</f>
        <v>36</v>
      </c>
      <c r="M738" t="str">
        <f>VLOOKUP(Tabla3[[#This Row],[SERVICIO]],'SAPROV (2)'!I:J,2,FALSE)</f>
        <v>SERV0011</v>
      </c>
      <c r="N738" t="s">
        <v>927</v>
      </c>
      <c r="P738">
        <f>VLOOKUP(Tabla3[[#This Row],[FECHA]],TASA[],2,FALSE)</f>
        <v>367.31</v>
      </c>
      <c r="Q738" s="35">
        <f t="shared" si="99"/>
        <v>-59.049304402276007</v>
      </c>
      <c r="R738" t="s">
        <v>1268</v>
      </c>
    </row>
    <row r="739" spans="1:18" x14ac:dyDescent="0.25">
      <c r="A739" s="33">
        <v>46052</v>
      </c>
      <c r="B739" s="1">
        <v>120721168</v>
      </c>
      <c r="C739" s="2" t="s">
        <v>1288</v>
      </c>
      <c r="D739" s="34">
        <v>-21689.4</v>
      </c>
      <c r="E739" t="s">
        <v>20</v>
      </c>
      <c r="F739" s="2" t="e">
        <f>VLOOKUP(Tabla3[[#This Row],[CONTABLE]],'SAPROV (2)'!L:M,2,FALSE)</f>
        <v>#N/A</v>
      </c>
      <c r="H739" t="s">
        <v>1280</v>
      </c>
      <c r="I739" s="2" t="str">
        <f>VLOOKUP(Tabla3[[#This Row],[Deposito]],'SAPROV (2)'!D:E,2,FALSE)</f>
        <v>01</v>
      </c>
      <c r="K739" s="2" t="s">
        <v>101</v>
      </c>
      <c r="L739" s="2" t="str">
        <f>VLOOKUP(Tabla3[[#This Row],[PROVEEDOR]],'SAPROV (2)'!A:B,2,FALSE)</f>
        <v>36</v>
      </c>
      <c r="M739" t="str">
        <f>VLOOKUP(Tabla3[[#This Row],[SERVICIO]],'SAPROV (2)'!I:J,2,FALSE)</f>
        <v>SERV0011</v>
      </c>
      <c r="N739" t="s">
        <v>927</v>
      </c>
      <c r="P739">
        <f>VLOOKUP(Tabla3[[#This Row],[FECHA]],TASA[],2,FALSE)</f>
        <v>367.31</v>
      </c>
      <c r="Q739" s="35">
        <f t="shared" si="99"/>
        <v>-59.049304402276007</v>
      </c>
      <c r="R739" t="s">
        <v>1268</v>
      </c>
    </row>
    <row r="740" spans="1:18" x14ac:dyDescent="0.25">
      <c r="A740" s="33">
        <v>46052</v>
      </c>
      <c r="B740" s="1">
        <v>120721171</v>
      </c>
      <c r="C740" s="2" t="s">
        <v>1264</v>
      </c>
      <c r="D740" s="34">
        <v>-14459.6</v>
      </c>
      <c r="E740" t="s">
        <v>20</v>
      </c>
      <c r="F740" s="2" t="e">
        <f>VLOOKUP(Tabla3[[#This Row],[CONTABLE]],'SAPROV (2)'!L:M,2,FALSE)</f>
        <v>#N/A</v>
      </c>
      <c r="H740" t="s">
        <v>1278</v>
      </c>
      <c r="I740" s="2" t="str">
        <f>VLOOKUP(Tabla3[[#This Row],[Deposito]],'SAPROV (2)'!D:E,2,FALSE)</f>
        <v>06</v>
      </c>
      <c r="K740" s="2" t="s">
        <v>101</v>
      </c>
      <c r="L740" s="23" t="str">
        <f>VLOOKUP(Tabla3[[#This Row],[PROVEEDOR]],'SAPROV (2)'!A:B,2,FALSE)</f>
        <v>36</v>
      </c>
      <c r="M740" t="str">
        <f>VLOOKUP(Tabla3[[#This Row],[SERVICIO]],'SAPROV (2)'!I:J,2,FALSE)</f>
        <v>SERV0011</v>
      </c>
      <c r="N740" t="s">
        <v>927</v>
      </c>
      <c r="P740">
        <f>VLOOKUP(Tabla3[[#This Row],[FECHA]],TASA[],2,FALSE)</f>
        <v>367.31</v>
      </c>
      <c r="Q740" s="35">
        <f t="shared" si="99"/>
        <v>-39.366202934850669</v>
      </c>
      <c r="R740" t="s">
        <v>1268</v>
      </c>
    </row>
    <row r="741" spans="1:18" x14ac:dyDescent="0.25">
      <c r="A741" s="33">
        <v>46052</v>
      </c>
      <c r="B741" s="1">
        <v>120721170</v>
      </c>
      <c r="C741" s="2" t="s">
        <v>1264</v>
      </c>
      <c r="D741" s="34">
        <v>-14459.6</v>
      </c>
      <c r="E741" t="s">
        <v>20</v>
      </c>
      <c r="F741" s="2" t="e">
        <f>VLOOKUP(Tabla3[[#This Row],[CONTABLE]],'SAPROV (2)'!L:M,2,FALSE)</f>
        <v>#N/A</v>
      </c>
      <c r="H741" t="s">
        <v>1278</v>
      </c>
      <c r="I741" s="2" t="str">
        <f>VLOOKUP(Tabla3[[#This Row],[Deposito]],'SAPROV (2)'!D:E,2,FALSE)</f>
        <v>06</v>
      </c>
      <c r="K741" s="2" t="s">
        <v>101</v>
      </c>
      <c r="L741" s="23" t="str">
        <f>VLOOKUP(Tabla3[[#This Row],[PROVEEDOR]],'SAPROV (2)'!A:B,2,FALSE)</f>
        <v>36</v>
      </c>
      <c r="M741" t="str">
        <f>VLOOKUP(Tabla3[[#This Row],[SERVICIO]],'SAPROV (2)'!I:J,2,FALSE)</f>
        <v>SERV0011</v>
      </c>
      <c r="N741" t="s">
        <v>927</v>
      </c>
      <c r="P741">
        <f>VLOOKUP(Tabla3[[#This Row],[FECHA]],TASA[],2,FALSE)</f>
        <v>367.31</v>
      </c>
      <c r="Q741" s="35">
        <f t="shared" si="99"/>
        <v>-39.366202934850669</v>
      </c>
      <c r="R741" t="s">
        <v>1268</v>
      </c>
    </row>
    <row r="742" spans="1:18" x14ac:dyDescent="0.25">
      <c r="A742" s="33">
        <v>46052</v>
      </c>
      <c r="B742" s="1">
        <v>120721169</v>
      </c>
      <c r="C742" s="2" t="s">
        <v>1288</v>
      </c>
      <c r="D742" s="34">
        <v>-21689.4</v>
      </c>
      <c r="E742" t="s">
        <v>20</v>
      </c>
      <c r="F742" s="2" t="e">
        <f>VLOOKUP(Tabla3[[#This Row],[CONTABLE]],'SAPROV (2)'!L:M,2,FALSE)</f>
        <v>#N/A</v>
      </c>
      <c r="H742" t="s">
        <v>1280</v>
      </c>
      <c r="I742" s="2" t="str">
        <f>VLOOKUP(Tabla3[[#This Row],[Deposito]],'SAPROV (2)'!D:E,2,FALSE)</f>
        <v>01</v>
      </c>
      <c r="K742" s="2" t="s">
        <v>101</v>
      </c>
      <c r="L742" s="2" t="str">
        <f>VLOOKUP(Tabla3[[#This Row],[PROVEEDOR]],'SAPROV (2)'!A:B,2,FALSE)</f>
        <v>36</v>
      </c>
      <c r="M742" t="str">
        <f>VLOOKUP(Tabla3[[#This Row],[SERVICIO]],'SAPROV (2)'!I:J,2,FALSE)</f>
        <v>SERV0011</v>
      </c>
      <c r="N742" t="s">
        <v>927</v>
      </c>
      <c r="P742">
        <f>VLOOKUP(Tabla3[[#This Row],[FECHA]],TASA[],2,FALSE)</f>
        <v>367.31</v>
      </c>
      <c r="Q742" s="35">
        <f t="shared" si="99"/>
        <v>-59.049304402276007</v>
      </c>
      <c r="R742" t="s">
        <v>1268</v>
      </c>
    </row>
    <row r="743" spans="1:18" x14ac:dyDescent="0.25">
      <c r="A743" s="33">
        <v>46052</v>
      </c>
      <c r="B743" s="1">
        <v>120721166</v>
      </c>
      <c r="C743" s="2" t="s">
        <v>1288</v>
      </c>
      <c r="D743" s="34">
        <v>-21689.4</v>
      </c>
      <c r="E743" t="s">
        <v>20</v>
      </c>
      <c r="F743" s="2" t="e">
        <f>VLOOKUP(Tabla3[[#This Row],[CONTABLE]],'SAPROV (2)'!L:M,2,FALSE)</f>
        <v>#N/A</v>
      </c>
      <c r="H743" t="s">
        <v>1280</v>
      </c>
      <c r="I743" s="2" t="str">
        <f>VLOOKUP(Tabla3[[#This Row],[Deposito]],'SAPROV (2)'!D:E,2,FALSE)</f>
        <v>01</v>
      </c>
      <c r="K743" s="2" t="s">
        <v>101</v>
      </c>
      <c r="L743" s="23" t="str">
        <f>VLOOKUP(Tabla3[[#This Row],[PROVEEDOR]],'SAPROV (2)'!A:B,2,FALSE)</f>
        <v>36</v>
      </c>
      <c r="M743" t="str">
        <f>VLOOKUP(Tabla3[[#This Row],[SERVICIO]],'SAPROV (2)'!I:J,2,FALSE)</f>
        <v>SERV0011</v>
      </c>
      <c r="N743" t="s">
        <v>927</v>
      </c>
      <c r="P743">
        <f>VLOOKUP(Tabla3[[#This Row],[FECHA]],TASA[],2,FALSE)</f>
        <v>367.31</v>
      </c>
      <c r="Q743" s="35">
        <f t="shared" si="99"/>
        <v>-59.049304402276007</v>
      </c>
      <c r="R743" t="s">
        <v>1268</v>
      </c>
    </row>
    <row r="744" spans="1:18" x14ac:dyDescent="0.25">
      <c r="A744" s="33">
        <v>46052</v>
      </c>
      <c r="B744" s="1">
        <v>120721172</v>
      </c>
      <c r="C744" s="2" t="s">
        <v>1264</v>
      </c>
      <c r="D744" s="34">
        <v>-14459.6</v>
      </c>
      <c r="E744" t="s">
        <v>20</v>
      </c>
      <c r="F744" s="2" t="e">
        <f>VLOOKUP(Tabla3[[#This Row],[CONTABLE]],'SAPROV (2)'!L:M,2,FALSE)</f>
        <v>#N/A</v>
      </c>
      <c r="H744" t="s">
        <v>1278</v>
      </c>
      <c r="I744" s="2" t="str">
        <f>VLOOKUP(Tabla3[[#This Row],[Deposito]],'SAPROV (2)'!D:E,2,FALSE)</f>
        <v>06</v>
      </c>
      <c r="K744" s="2" t="s">
        <v>101</v>
      </c>
      <c r="L744" s="23" t="str">
        <f>VLOOKUP(Tabla3[[#This Row],[PROVEEDOR]],'SAPROV (2)'!A:B,2,FALSE)</f>
        <v>36</v>
      </c>
      <c r="M744" t="str">
        <f>VLOOKUP(Tabla3[[#This Row],[SERVICIO]],'SAPROV (2)'!I:J,2,FALSE)</f>
        <v>SERV0011</v>
      </c>
      <c r="N744" t="s">
        <v>927</v>
      </c>
      <c r="P744">
        <f>VLOOKUP(Tabla3[[#This Row],[FECHA]],TASA[],2,FALSE)</f>
        <v>367.31</v>
      </c>
      <c r="Q744" s="35">
        <f t="shared" si="99"/>
        <v>-39.366202934850669</v>
      </c>
      <c r="R744" t="s">
        <v>1268</v>
      </c>
    </row>
    <row r="745" spans="1:18" x14ac:dyDescent="0.25">
      <c r="A745" s="33">
        <v>46052</v>
      </c>
      <c r="B745" s="1">
        <v>120721173</v>
      </c>
      <c r="C745" s="2" t="s">
        <v>1264</v>
      </c>
      <c r="D745" s="34">
        <v>-14459.6</v>
      </c>
      <c r="E745" t="s">
        <v>20</v>
      </c>
      <c r="F745" s="2" t="e">
        <f>VLOOKUP(Tabla3[[#This Row],[CONTABLE]],'SAPROV (2)'!L:M,2,FALSE)</f>
        <v>#N/A</v>
      </c>
      <c r="H745" t="s">
        <v>1278</v>
      </c>
      <c r="I745" s="2" t="str">
        <f>VLOOKUP(Tabla3[[#This Row],[Deposito]],'SAPROV (2)'!D:E,2,FALSE)</f>
        <v>06</v>
      </c>
      <c r="K745" s="2" t="s">
        <v>101</v>
      </c>
      <c r="L745" s="2" t="str">
        <f>VLOOKUP(Tabla3[[#This Row],[PROVEEDOR]],'SAPROV (2)'!A:B,2,FALSE)</f>
        <v>36</v>
      </c>
      <c r="M745" t="str">
        <f>VLOOKUP(Tabla3[[#This Row],[SERVICIO]],'SAPROV (2)'!I:J,2,FALSE)</f>
        <v>SERV0011</v>
      </c>
      <c r="N745" t="s">
        <v>927</v>
      </c>
      <c r="P745">
        <f>VLOOKUP(Tabla3[[#This Row],[FECHA]],TASA[],2,FALSE)</f>
        <v>367.31</v>
      </c>
      <c r="Q745" s="35">
        <f t="shared" si="99"/>
        <v>-39.366202934850669</v>
      </c>
      <c r="R745" t="s">
        <v>1268</v>
      </c>
    </row>
    <row r="746" spans="1:18" x14ac:dyDescent="0.25">
      <c r="A746" s="33">
        <v>46052</v>
      </c>
      <c r="B746" s="1">
        <v>220721176</v>
      </c>
      <c r="C746" s="2" t="s">
        <v>1264</v>
      </c>
      <c r="D746" s="34">
        <v>-14459.6</v>
      </c>
      <c r="E746" t="s">
        <v>20</v>
      </c>
      <c r="F746" s="2" t="e">
        <f>VLOOKUP(Tabla3[[#This Row],[CONTABLE]],'SAPROV (2)'!L:M,2,FALSE)</f>
        <v>#N/A</v>
      </c>
      <c r="H746" t="s">
        <v>1278</v>
      </c>
      <c r="I746" s="2" t="str">
        <f>VLOOKUP(Tabla3[[#This Row],[Deposito]],'SAPROV (2)'!D:E,2,FALSE)</f>
        <v>06</v>
      </c>
      <c r="K746" s="2" t="s">
        <v>101</v>
      </c>
      <c r="L746" s="23" t="str">
        <f>VLOOKUP(Tabla3[[#This Row],[PROVEEDOR]],'SAPROV (2)'!A:B,2,FALSE)</f>
        <v>36</v>
      </c>
      <c r="M746" t="str">
        <f>VLOOKUP(Tabla3[[#This Row],[SERVICIO]],'SAPROV (2)'!I:J,2,FALSE)</f>
        <v>SERV0011</v>
      </c>
      <c r="N746" t="s">
        <v>927</v>
      </c>
      <c r="P746">
        <f>VLOOKUP(Tabla3[[#This Row],[FECHA]],TASA[],2,FALSE)</f>
        <v>367.31</v>
      </c>
      <c r="Q746" s="35">
        <f t="shared" si="99"/>
        <v>-39.366202934850669</v>
      </c>
      <c r="R746" t="s">
        <v>1268</v>
      </c>
    </row>
    <row r="747" spans="1:18" x14ac:dyDescent="0.25">
      <c r="A747" s="33">
        <v>46052</v>
      </c>
      <c r="B747" s="1">
        <v>120721175</v>
      </c>
      <c r="C747" s="2" t="s">
        <v>1264</v>
      </c>
      <c r="D747" s="34">
        <v>-14459.6</v>
      </c>
      <c r="E747" t="s">
        <v>20</v>
      </c>
      <c r="F747" s="2" t="e">
        <f>VLOOKUP(Tabla3[[#This Row],[CONTABLE]],'SAPROV (2)'!L:M,2,FALSE)</f>
        <v>#N/A</v>
      </c>
      <c r="H747" t="s">
        <v>1278</v>
      </c>
      <c r="I747" s="2" t="str">
        <f>VLOOKUP(Tabla3[[#This Row],[Deposito]],'SAPROV (2)'!D:E,2,FALSE)</f>
        <v>06</v>
      </c>
      <c r="K747" s="2" t="s">
        <v>101</v>
      </c>
      <c r="L747" s="23" t="str">
        <f>VLOOKUP(Tabla3[[#This Row],[PROVEEDOR]],'SAPROV (2)'!A:B,2,FALSE)</f>
        <v>36</v>
      </c>
      <c r="M747" t="str">
        <f>VLOOKUP(Tabla3[[#This Row],[SERVICIO]],'SAPROV (2)'!I:J,2,FALSE)</f>
        <v>SERV0011</v>
      </c>
      <c r="N747" t="s">
        <v>927</v>
      </c>
      <c r="P747">
        <f>VLOOKUP(Tabla3[[#This Row],[FECHA]],TASA[],2,FALSE)</f>
        <v>367.31</v>
      </c>
      <c r="Q747" s="35">
        <f t="shared" si="99"/>
        <v>-39.366202934850669</v>
      </c>
      <c r="R747" t="s">
        <v>1268</v>
      </c>
    </row>
    <row r="748" spans="1:18" x14ac:dyDescent="0.25">
      <c r="A748" s="33">
        <v>46052</v>
      </c>
      <c r="B748" s="1">
        <v>120721174</v>
      </c>
      <c r="C748" s="2" t="s">
        <v>1264</v>
      </c>
      <c r="D748" s="34">
        <v>-14459.6</v>
      </c>
      <c r="E748" t="s">
        <v>20</v>
      </c>
      <c r="F748" s="2" t="e">
        <f>VLOOKUP(Tabla3[[#This Row],[CONTABLE]],'SAPROV (2)'!L:M,2,FALSE)</f>
        <v>#N/A</v>
      </c>
      <c r="H748" t="s">
        <v>1278</v>
      </c>
      <c r="I748" s="2" t="str">
        <f>VLOOKUP(Tabla3[[#This Row],[Deposito]],'SAPROV (2)'!D:E,2,FALSE)</f>
        <v>06</v>
      </c>
      <c r="K748" s="2" t="s">
        <v>101</v>
      </c>
      <c r="L748" s="2" t="str">
        <f>VLOOKUP(Tabla3[[#This Row],[PROVEEDOR]],'SAPROV (2)'!A:B,2,FALSE)</f>
        <v>36</v>
      </c>
      <c r="M748" t="str">
        <f>VLOOKUP(Tabla3[[#This Row],[SERVICIO]],'SAPROV (2)'!I:J,2,FALSE)</f>
        <v>SERV0011</v>
      </c>
      <c r="N748" t="s">
        <v>927</v>
      </c>
      <c r="P748">
        <f>VLOOKUP(Tabla3[[#This Row],[FECHA]],TASA[],2,FALSE)</f>
        <v>367.31</v>
      </c>
      <c r="Q748" s="35">
        <f t="shared" si="99"/>
        <v>-39.366202934850669</v>
      </c>
      <c r="R748" t="s">
        <v>1268</v>
      </c>
    </row>
    <row r="749" spans="1:18" x14ac:dyDescent="0.25">
      <c r="A749" s="33">
        <v>46052</v>
      </c>
      <c r="B749" s="1">
        <v>220721177</v>
      </c>
      <c r="C749" s="2" t="s">
        <v>1264</v>
      </c>
      <c r="D749" s="34">
        <v>-14459.6</v>
      </c>
      <c r="E749" t="s">
        <v>20</v>
      </c>
      <c r="F749" s="2" t="e">
        <f>VLOOKUP(Tabla3[[#This Row],[CONTABLE]],'SAPROV (2)'!L:M,2,FALSE)</f>
        <v>#N/A</v>
      </c>
      <c r="H749" t="s">
        <v>1278</v>
      </c>
      <c r="I749" s="2" t="str">
        <f>VLOOKUP(Tabla3[[#This Row],[Deposito]],'SAPROV (2)'!D:E,2,FALSE)</f>
        <v>06</v>
      </c>
      <c r="K749" s="2" t="s">
        <v>101</v>
      </c>
      <c r="L749" s="23" t="str">
        <f>VLOOKUP(Tabla3[[#This Row],[PROVEEDOR]],'SAPROV (2)'!A:B,2,FALSE)</f>
        <v>36</v>
      </c>
      <c r="M749" t="str">
        <f>VLOOKUP(Tabla3[[#This Row],[SERVICIO]],'SAPROV (2)'!I:J,2,FALSE)</f>
        <v>SERV0011</v>
      </c>
      <c r="N749" t="s">
        <v>927</v>
      </c>
      <c r="P749">
        <f>VLOOKUP(Tabla3[[#This Row],[FECHA]],TASA[],2,FALSE)</f>
        <v>367.31</v>
      </c>
      <c r="Q749" s="35">
        <f t="shared" si="99"/>
        <v>-39.366202934850669</v>
      </c>
      <c r="R749" t="s">
        <v>1268</v>
      </c>
    </row>
    <row r="750" spans="1:18" x14ac:dyDescent="0.25">
      <c r="A750" s="33">
        <v>46052</v>
      </c>
      <c r="B750" s="1">
        <v>220721178</v>
      </c>
      <c r="C750" s="2" t="s">
        <v>1264</v>
      </c>
      <c r="D750" s="34">
        <v>-14459.6</v>
      </c>
      <c r="E750" t="s">
        <v>20</v>
      </c>
      <c r="F750" s="2" t="e">
        <f>VLOOKUP(Tabla3[[#This Row],[CONTABLE]],'SAPROV (2)'!L:M,2,FALSE)</f>
        <v>#N/A</v>
      </c>
      <c r="H750" t="s">
        <v>1278</v>
      </c>
      <c r="I750" s="2" t="str">
        <f>VLOOKUP(Tabla3[[#This Row],[Deposito]],'SAPROV (2)'!D:E,2,FALSE)</f>
        <v>06</v>
      </c>
      <c r="K750" s="2" t="s">
        <v>101</v>
      </c>
      <c r="L750" s="23" t="str">
        <f>VLOOKUP(Tabla3[[#This Row],[PROVEEDOR]],'SAPROV (2)'!A:B,2,FALSE)</f>
        <v>36</v>
      </c>
      <c r="M750" t="str">
        <f>VLOOKUP(Tabla3[[#This Row],[SERVICIO]],'SAPROV (2)'!I:J,2,FALSE)</f>
        <v>SERV0011</v>
      </c>
      <c r="N750" t="s">
        <v>927</v>
      </c>
      <c r="P750">
        <f>VLOOKUP(Tabla3[[#This Row],[FECHA]],TASA[],2,FALSE)</f>
        <v>367.31</v>
      </c>
      <c r="Q750" s="35">
        <f t="shared" si="99"/>
        <v>-39.366202934850669</v>
      </c>
      <c r="R750" t="s">
        <v>1268</v>
      </c>
    </row>
    <row r="751" spans="1:18" x14ac:dyDescent="0.25">
      <c r="A751" s="33">
        <v>46052</v>
      </c>
      <c r="B751" s="1">
        <v>220721180</v>
      </c>
      <c r="C751" s="2" t="s">
        <v>1289</v>
      </c>
      <c r="D751" s="34">
        <v>-14459.6</v>
      </c>
      <c r="E751" t="s">
        <v>20</v>
      </c>
      <c r="F751" s="2" t="e">
        <f>VLOOKUP(Tabla3[[#This Row],[CONTABLE]],'SAPROV (2)'!L:M,2,FALSE)</f>
        <v>#N/A</v>
      </c>
      <c r="H751" t="s">
        <v>1281</v>
      </c>
      <c r="I751" s="2" t="str">
        <f>VLOOKUP(Tabla3[[#This Row],[Deposito]],'SAPROV (2)'!D:E,2,FALSE)</f>
        <v>07</v>
      </c>
      <c r="K751" s="2" t="s">
        <v>101</v>
      </c>
      <c r="L751" s="2" t="str">
        <f>VLOOKUP(Tabla3[[#This Row],[PROVEEDOR]],'SAPROV (2)'!A:B,2,FALSE)</f>
        <v>36</v>
      </c>
      <c r="M751" t="str">
        <f>VLOOKUP(Tabla3[[#This Row],[SERVICIO]],'SAPROV (2)'!I:J,2,FALSE)</f>
        <v>SERV0011</v>
      </c>
      <c r="N751" t="s">
        <v>927</v>
      </c>
      <c r="P751">
        <f>VLOOKUP(Tabla3[[#This Row],[FECHA]],TASA[],2,FALSE)</f>
        <v>367.31</v>
      </c>
      <c r="Q751" s="35">
        <f t="shared" si="99"/>
        <v>-39.366202934850669</v>
      </c>
      <c r="R751" t="s">
        <v>1268</v>
      </c>
    </row>
    <row r="752" spans="1:18" x14ac:dyDescent="0.25">
      <c r="A752" s="33">
        <v>46052</v>
      </c>
      <c r="B752" s="1">
        <v>220721181</v>
      </c>
      <c r="C752" s="2" t="s">
        <v>1289</v>
      </c>
      <c r="D752" s="34">
        <v>-14459.6</v>
      </c>
      <c r="E752" t="s">
        <v>20</v>
      </c>
      <c r="F752" s="2" t="e">
        <f>VLOOKUP(Tabla3[[#This Row],[CONTABLE]],'SAPROV (2)'!L:M,2,FALSE)</f>
        <v>#N/A</v>
      </c>
      <c r="H752" t="s">
        <v>1281</v>
      </c>
      <c r="I752" s="2" t="str">
        <f>VLOOKUP(Tabla3[[#This Row],[Deposito]],'SAPROV (2)'!D:E,2,FALSE)</f>
        <v>07</v>
      </c>
      <c r="K752" s="2" t="s">
        <v>101</v>
      </c>
      <c r="L752" s="23" t="str">
        <f>VLOOKUP(Tabla3[[#This Row],[PROVEEDOR]],'SAPROV (2)'!A:B,2,FALSE)</f>
        <v>36</v>
      </c>
      <c r="M752" t="str">
        <f>VLOOKUP(Tabla3[[#This Row],[SERVICIO]],'SAPROV (2)'!I:J,2,FALSE)</f>
        <v>SERV0011</v>
      </c>
      <c r="N752" t="s">
        <v>927</v>
      </c>
      <c r="P752">
        <f>VLOOKUP(Tabla3[[#This Row],[FECHA]],TASA[],2,FALSE)</f>
        <v>367.31</v>
      </c>
      <c r="Q752" s="35">
        <f t="shared" si="99"/>
        <v>-39.366202934850669</v>
      </c>
      <c r="R752" t="s">
        <v>1268</v>
      </c>
    </row>
    <row r="753" spans="1:18" x14ac:dyDescent="0.25">
      <c r="A753" s="33">
        <v>46052</v>
      </c>
      <c r="B753" s="1">
        <v>220721183</v>
      </c>
      <c r="C753" s="2" t="s">
        <v>1289</v>
      </c>
      <c r="D753" s="34">
        <v>-14459.6</v>
      </c>
      <c r="E753" t="s">
        <v>20</v>
      </c>
      <c r="F753" s="2" t="e">
        <f>VLOOKUP(Tabla3[[#This Row],[CONTABLE]],'SAPROV (2)'!L:M,2,FALSE)</f>
        <v>#N/A</v>
      </c>
      <c r="H753" t="s">
        <v>1281</v>
      </c>
      <c r="I753" s="2" t="str">
        <f>VLOOKUP(Tabla3[[#This Row],[Deposito]],'SAPROV (2)'!D:E,2,FALSE)</f>
        <v>07</v>
      </c>
      <c r="K753" s="2" t="s">
        <v>101</v>
      </c>
      <c r="L753" s="23" t="str">
        <f>VLOOKUP(Tabla3[[#This Row],[PROVEEDOR]],'SAPROV (2)'!A:B,2,FALSE)</f>
        <v>36</v>
      </c>
      <c r="M753" t="str">
        <f>VLOOKUP(Tabla3[[#This Row],[SERVICIO]],'SAPROV (2)'!I:J,2,FALSE)</f>
        <v>SERV0011</v>
      </c>
      <c r="N753" t="s">
        <v>927</v>
      </c>
      <c r="P753">
        <f>VLOOKUP(Tabla3[[#This Row],[FECHA]],TASA[],2,FALSE)</f>
        <v>367.31</v>
      </c>
      <c r="Q753" s="35">
        <f t="shared" si="99"/>
        <v>-39.366202934850669</v>
      </c>
      <c r="R753" t="s">
        <v>1268</v>
      </c>
    </row>
    <row r="754" spans="1:18" x14ac:dyDescent="0.25">
      <c r="A754" s="33">
        <v>46052</v>
      </c>
      <c r="B754" s="1">
        <v>220721186</v>
      </c>
      <c r="C754" s="2" t="s">
        <v>1289</v>
      </c>
      <c r="D754" s="34">
        <v>-14459.6</v>
      </c>
      <c r="E754" t="s">
        <v>20</v>
      </c>
      <c r="F754" s="2" t="e">
        <f>VLOOKUP(Tabla3[[#This Row],[CONTABLE]],'SAPROV (2)'!L:M,2,FALSE)</f>
        <v>#N/A</v>
      </c>
      <c r="H754" t="s">
        <v>1281</v>
      </c>
      <c r="I754" s="2" t="str">
        <f>VLOOKUP(Tabla3[[#This Row],[Deposito]],'SAPROV (2)'!D:E,2,FALSE)</f>
        <v>07</v>
      </c>
      <c r="K754" s="2" t="s">
        <v>101</v>
      </c>
      <c r="L754" s="2" t="str">
        <f>VLOOKUP(Tabla3[[#This Row],[PROVEEDOR]],'SAPROV (2)'!A:B,2,FALSE)</f>
        <v>36</v>
      </c>
      <c r="M754" t="str">
        <f>VLOOKUP(Tabla3[[#This Row],[SERVICIO]],'SAPROV (2)'!I:J,2,FALSE)</f>
        <v>SERV0011</v>
      </c>
      <c r="N754" t="s">
        <v>927</v>
      </c>
      <c r="P754">
        <f>VLOOKUP(Tabla3[[#This Row],[FECHA]],TASA[],2,FALSE)</f>
        <v>367.31</v>
      </c>
      <c r="Q754" s="35">
        <f t="shared" si="99"/>
        <v>-39.366202934850669</v>
      </c>
      <c r="R754" t="s">
        <v>1268</v>
      </c>
    </row>
    <row r="755" spans="1:18" x14ac:dyDescent="0.25">
      <c r="A755" s="33">
        <v>46052</v>
      </c>
      <c r="B755" s="1">
        <v>220721184</v>
      </c>
      <c r="C755" s="2" t="s">
        <v>1289</v>
      </c>
      <c r="D755" s="34">
        <v>-14459.6</v>
      </c>
      <c r="E755" t="s">
        <v>20</v>
      </c>
      <c r="F755" s="2" t="e">
        <f>VLOOKUP(Tabla3[[#This Row],[CONTABLE]],'SAPROV (2)'!L:M,2,FALSE)</f>
        <v>#N/A</v>
      </c>
      <c r="H755" t="s">
        <v>1281</v>
      </c>
      <c r="I755" s="2" t="str">
        <f>VLOOKUP(Tabla3[[#This Row],[Deposito]],'SAPROV (2)'!D:E,2,FALSE)</f>
        <v>07</v>
      </c>
      <c r="K755" s="2" t="s">
        <v>101</v>
      </c>
      <c r="L755" s="23" t="str">
        <f>VLOOKUP(Tabla3[[#This Row],[PROVEEDOR]],'SAPROV (2)'!A:B,2,FALSE)</f>
        <v>36</v>
      </c>
      <c r="M755" t="str">
        <f>VLOOKUP(Tabla3[[#This Row],[SERVICIO]],'SAPROV (2)'!I:J,2,FALSE)</f>
        <v>SERV0011</v>
      </c>
      <c r="N755" t="s">
        <v>927</v>
      </c>
      <c r="P755">
        <f>VLOOKUP(Tabla3[[#This Row],[FECHA]],TASA[],2,FALSE)</f>
        <v>367.31</v>
      </c>
      <c r="Q755" s="35">
        <f t="shared" si="99"/>
        <v>-39.366202934850669</v>
      </c>
      <c r="R755" t="s">
        <v>1268</v>
      </c>
    </row>
    <row r="756" spans="1:18" x14ac:dyDescent="0.25">
      <c r="A756" s="33">
        <v>46052</v>
      </c>
      <c r="B756" s="1">
        <v>220721185</v>
      </c>
      <c r="C756" s="2" t="s">
        <v>1289</v>
      </c>
      <c r="D756" s="34">
        <v>-14459.6</v>
      </c>
      <c r="E756" t="s">
        <v>20</v>
      </c>
      <c r="F756" s="2" t="e">
        <f>VLOOKUP(Tabla3[[#This Row],[CONTABLE]],'SAPROV (2)'!L:M,2,FALSE)</f>
        <v>#N/A</v>
      </c>
      <c r="H756" t="s">
        <v>1281</v>
      </c>
      <c r="I756" s="2" t="str">
        <f>VLOOKUP(Tabla3[[#This Row],[Deposito]],'SAPROV (2)'!D:E,2,FALSE)</f>
        <v>07</v>
      </c>
      <c r="K756" s="2" t="s">
        <v>101</v>
      </c>
      <c r="L756" s="23" t="str">
        <f>VLOOKUP(Tabla3[[#This Row],[PROVEEDOR]],'SAPROV (2)'!A:B,2,FALSE)</f>
        <v>36</v>
      </c>
      <c r="M756" t="str">
        <f>VLOOKUP(Tabla3[[#This Row],[SERVICIO]],'SAPROV (2)'!I:J,2,FALSE)</f>
        <v>SERV0011</v>
      </c>
      <c r="N756" t="s">
        <v>927</v>
      </c>
      <c r="P756">
        <f>VLOOKUP(Tabla3[[#This Row],[FECHA]],TASA[],2,FALSE)</f>
        <v>367.31</v>
      </c>
      <c r="Q756" s="35">
        <f t="shared" si="99"/>
        <v>-39.366202934850669</v>
      </c>
      <c r="R756" t="s">
        <v>1268</v>
      </c>
    </row>
    <row r="757" spans="1:18" x14ac:dyDescent="0.25">
      <c r="A757" s="33">
        <v>46052</v>
      </c>
      <c r="B757" s="1">
        <v>320721188</v>
      </c>
      <c r="C757" s="2" t="s">
        <v>1289</v>
      </c>
      <c r="D757" s="34">
        <v>-14459.6</v>
      </c>
      <c r="E757" t="s">
        <v>20</v>
      </c>
      <c r="F757" s="2" t="e">
        <f>VLOOKUP(Tabla3[[#This Row],[CONTABLE]],'SAPROV (2)'!L:M,2,FALSE)</f>
        <v>#N/A</v>
      </c>
      <c r="H757" t="s">
        <v>1281</v>
      </c>
      <c r="I757" s="2" t="str">
        <f>VLOOKUP(Tabla3[[#This Row],[Deposito]],'SAPROV (2)'!D:E,2,FALSE)</f>
        <v>07</v>
      </c>
      <c r="K757" s="2" t="s">
        <v>101</v>
      </c>
      <c r="L757" s="2" t="str">
        <f>VLOOKUP(Tabla3[[#This Row],[PROVEEDOR]],'SAPROV (2)'!A:B,2,FALSE)</f>
        <v>36</v>
      </c>
      <c r="M757" t="str">
        <f>VLOOKUP(Tabla3[[#This Row],[SERVICIO]],'SAPROV (2)'!I:J,2,FALSE)</f>
        <v>SERV0011</v>
      </c>
      <c r="N757" t="s">
        <v>927</v>
      </c>
      <c r="P757">
        <f>VLOOKUP(Tabla3[[#This Row],[FECHA]],TASA[],2,FALSE)</f>
        <v>367.31</v>
      </c>
      <c r="Q757" s="35">
        <f t="shared" si="99"/>
        <v>-39.366202934850669</v>
      </c>
      <c r="R757" t="s">
        <v>1268</v>
      </c>
    </row>
    <row r="758" spans="1:18" x14ac:dyDescent="0.25">
      <c r="A758" s="33">
        <v>46052</v>
      </c>
      <c r="B758" s="1">
        <v>320721187</v>
      </c>
      <c r="C758" s="2" t="s">
        <v>1289</v>
      </c>
      <c r="D758" s="34">
        <v>-14459.6</v>
      </c>
      <c r="E758" t="s">
        <v>20</v>
      </c>
      <c r="F758" s="2" t="e">
        <f>VLOOKUP(Tabla3[[#This Row],[CONTABLE]],'SAPROV (2)'!L:M,2,FALSE)</f>
        <v>#N/A</v>
      </c>
      <c r="H758" t="s">
        <v>1281</v>
      </c>
      <c r="I758" s="2" t="str">
        <f>VLOOKUP(Tabla3[[#This Row],[Deposito]],'SAPROV (2)'!D:E,2,FALSE)</f>
        <v>07</v>
      </c>
      <c r="K758" s="2" t="s">
        <v>101</v>
      </c>
      <c r="L758" s="23" t="str">
        <f>VLOOKUP(Tabla3[[#This Row],[PROVEEDOR]],'SAPROV (2)'!A:B,2,FALSE)</f>
        <v>36</v>
      </c>
      <c r="M758" t="str">
        <f>VLOOKUP(Tabla3[[#This Row],[SERVICIO]],'SAPROV (2)'!I:J,2,FALSE)</f>
        <v>SERV0011</v>
      </c>
      <c r="N758" t="s">
        <v>927</v>
      </c>
      <c r="P758">
        <f>VLOOKUP(Tabla3[[#This Row],[FECHA]],TASA[],2,FALSE)</f>
        <v>367.31</v>
      </c>
      <c r="Q758" s="35">
        <f t="shared" si="99"/>
        <v>-39.366202934850669</v>
      </c>
      <c r="R758" t="s">
        <v>1268</v>
      </c>
    </row>
    <row r="759" spans="1:18" x14ac:dyDescent="0.25">
      <c r="A759" s="33">
        <v>46052</v>
      </c>
      <c r="B759" s="1">
        <v>320721189</v>
      </c>
      <c r="C759" s="2" t="s">
        <v>1289</v>
      </c>
      <c r="D759" s="34">
        <v>-14459.6</v>
      </c>
      <c r="E759" t="s">
        <v>20</v>
      </c>
      <c r="F759" s="2" t="e">
        <f>VLOOKUP(Tabla3[[#This Row],[CONTABLE]],'SAPROV (2)'!L:M,2,FALSE)</f>
        <v>#N/A</v>
      </c>
      <c r="H759" t="s">
        <v>1281</v>
      </c>
      <c r="I759" s="2" t="str">
        <f>VLOOKUP(Tabla3[[#This Row],[Deposito]],'SAPROV (2)'!D:E,2,FALSE)</f>
        <v>07</v>
      </c>
      <c r="K759" s="2" t="s">
        <v>101</v>
      </c>
      <c r="L759" s="23" t="str">
        <f>VLOOKUP(Tabla3[[#This Row],[PROVEEDOR]],'SAPROV (2)'!A:B,2,FALSE)</f>
        <v>36</v>
      </c>
      <c r="M759" t="str">
        <f>VLOOKUP(Tabla3[[#This Row],[SERVICIO]],'SAPROV (2)'!I:J,2,FALSE)</f>
        <v>SERV0011</v>
      </c>
      <c r="N759" t="s">
        <v>927</v>
      </c>
      <c r="P759">
        <f>VLOOKUP(Tabla3[[#This Row],[FECHA]],TASA[],2,FALSE)</f>
        <v>367.31</v>
      </c>
      <c r="Q759" s="35">
        <f t="shared" si="99"/>
        <v>-39.366202934850669</v>
      </c>
      <c r="R759" t="s">
        <v>1268</v>
      </c>
    </row>
    <row r="760" spans="1:18" x14ac:dyDescent="0.25">
      <c r="A760" s="33">
        <v>46052</v>
      </c>
      <c r="B760" s="1">
        <v>320721194</v>
      </c>
      <c r="C760" s="2" t="s">
        <v>1289</v>
      </c>
      <c r="D760" s="34">
        <v>-14459.6</v>
      </c>
      <c r="E760" t="s">
        <v>20</v>
      </c>
      <c r="F760" s="2" t="e">
        <f>VLOOKUP(Tabla3[[#This Row],[CONTABLE]],'SAPROV (2)'!L:M,2,FALSE)</f>
        <v>#N/A</v>
      </c>
      <c r="H760" t="s">
        <v>1281</v>
      </c>
      <c r="I760" s="2" t="str">
        <f>VLOOKUP(Tabla3[[#This Row],[Deposito]],'SAPROV (2)'!D:E,2,FALSE)</f>
        <v>07</v>
      </c>
      <c r="K760" s="2" t="s">
        <v>101</v>
      </c>
      <c r="L760" s="2" t="str">
        <f>VLOOKUP(Tabla3[[#This Row],[PROVEEDOR]],'SAPROV (2)'!A:B,2,FALSE)</f>
        <v>36</v>
      </c>
      <c r="M760" t="str">
        <f>VLOOKUP(Tabla3[[#This Row],[SERVICIO]],'SAPROV (2)'!I:J,2,FALSE)</f>
        <v>SERV0011</v>
      </c>
      <c r="N760" t="s">
        <v>927</v>
      </c>
      <c r="P760">
        <f>VLOOKUP(Tabla3[[#This Row],[FECHA]],TASA[],2,FALSE)</f>
        <v>367.31</v>
      </c>
      <c r="Q760" s="35">
        <f t="shared" si="99"/>
        <v>-39.366202934850669</v>
      </c>
      <c r="R760" t="s">
        <v>1268</v>
      </c>
    </row>
    <row r="761" spans="1:18" x14ac:dyDescent="0.25">
      <c r="A761" s="33">
        <v>46052</v>
      </c>
      <c r="B761" s="1">
        <v>320721193</v>
      </c>
      <c r="C761" s="2" t="s">
        <v>1289</v>
      </c>
      <c r="D761" s="34">
        <v>-14459.6</v>
      </c>
      <c r="E761" t="s">
        <v>20</v>
      </c>
      <c r="F761" s="2" t="e">
        <f>VLOOKUP(Tabla3[[#This Row],[CONTABLE]],'SAPROV (2)'!L:M,2,FALSE)</f>
        <v>#N/A</v>
      </c>
      <c r="H761" t="s">
        <v>1281</v>
      </c>
      <c r="I761" s="2" t="str">
        <f>VLOOKUP(Tabla3[[#This Row],[Deposito]],'SAPROV (2)'!D:E,2,FALSE)</f>
        <v>07</v>
      </c>
      <c r="K761" s="2" t="s">
        <v>101</v>
      </c>
      <c r="L761" s="23" t="str">
        <f>VLOOKUP(Tabla3[[#This Row],[PROVEEDOR]],'SAPROV (2)'!A:B,2,FALSE)</f>
        <v>36</v>
      </c>
      <c r="M761" t="str">
        <f>VLOOKUP(Tabla3[[#This Row],[SERVICIO]],'SAPROV (2)'!I:J,2,FALSE)</f>
        <v>SERV0011</v>
      </c>
      <c r="N761" t="s">
        <v>927</v>
      </c>
      <c r="P761">
        <f>VLOOKUP(Tabla3[[#This Row],[FECHA]],TASA[],2,FALSE)</f>
        <v>367.31</v>
      </c>
      <c r="Q761" s="35">
        <f t="shared" si="99"/>
        <v>-39.366202934850669</v>
      </c>
      <c r="R761" t="s">
        <v>1268</v>
      </c>
    </row>
    <row r="762" spans="1:18" x14ac:dyDescent="0.25">
      <c r="A762" s="33">
        <v>46052</v>
      </c>
      <c r="B762" s="1">
        <v>320721191</v>
      </c>
      <c r="C762" s="2" t="s">
        <v>1289</v>
      </c>
      <c r="D762" s="34">
        <v>-14459.6</v>
      </c>
      <c r="E762" t="s">
        <v>20</v>
      </c>
      <c r="F762" s="2" t="e">
        <f>VLOOKUP(Tabla3[[#This Row],[CONTABLE]],'SAPROV (2)'!L:M,2,FALSE)</f>
        <v>#N/A</v>
      </c>
      <c r="H762" t="s">
        <v>1281</v>
      </c>
      <c r="I762" s="2" t="str">
        <f>VLOOKUP(Tabla3[[#This Row],[Deposito]],'SAPROV (2)'!D:E,2,FALSE)</f>
        <v>07</v>
      </c>
      <c r="K762" s="2" t="s">
        <v>101</v>
      </c>
      <c r="L762" s="23" t="str">
        <f>VLOOKUP(Tabla3[[#This Row],[PROVEEDOR]],'SAPROV (2)'!A:B,2,FALSE)</f>
        <v>36</v>
      </c>
      <c r="M762" t="str">
        <f>VLOOKUP(Tabla3[[#This Row],[SERVICIO]],'SAPROV (2)'!I:J,2,FALSE)</f>
        <v>SERV0011</v>
      </c>
      <c r="N762" t="s">
        <v>927</v>
      </c>
      <c r="P762">
        <f>VLOOKUP(Tabla3[[#This Row],[FECHA]],TASA[],2,FALSE)</f>
        <v>367.31</v>
      </c>
      <c r="Q762" s="35">
        <f t="shared" si="99"/>
        <v>-39.366202934850669</v>
      </c>
      <c r="R762" t="s">
        <v>1268</v>
      </c>
    </row>
    <row r="763" spans="1:18" x14ac:dyDescent="0.25">
      <c r="A763" s="33">
        <v>46052</v>
      </c>
      <c r="B763" s="1">
        <v>320721192</v>
      </c>
      <c r="C763" s="2" t="s">
        <v>1289</v>
      </c>
      <c r="D763" s="34">
        <v>-14459.6</v>
      </c>
      <c r="E763" t="s">
        <v>20</v>
      </c>
      <c r="F763" s="2" t="e">
        <f>VLOOKUP(Tabla3[[#This Row],[CONTABLE]],'SAPROV (2)'!L:M,2,FALSE)</f>
        <v>#N/A</v>
      </c>
      <c r="H763" t="s">
        <v>1281</v>
      </c>
      <c r="I763" s="2" t="str">
        <f>VLOOKUP(Tabla3[[#This Row],[Deposito]],'SAPROV (2)'!D:E,2,FALSE)</f>
        <v>07</v>
      </c>
      <c r="K763" s="2" t="s">
        <v>101</v>
      </c>
      <c r="L763" s="2" t="str">
        <f>VLOOKUP(Tabla3[[#This Row],[PROVEEDOR]],'SAPROV (2)'!A:B,2,FALSE)</f>
        <v>36</v>
      </c>
      <c r="M763" t="str">
        <f>VLOOKUP(Tabla3[[#This Row],[SERVICIO]],'SAPROV (2)'!I:J,2,FALSE)</f>
        <v>SERV0011</v>
      </c>
      <c r="N763" t="s">
        <v>927</v>
      </c>
      <c r="P763">
        <f>VLOOKUP(Tabla3[[#This Row],[FECHA]],TASA[],2,FALSE)</f>
        <v>367.31</v>
      </c>
      <c r="Q763" s="35">
        <f t="shared" si="99"/>
        <v>-39.366202934850669</v>
      </c>
      <c r="R763" t="s">
        <v>1268</v>
      </c>
    </row>
    <row r="764" spans="1:18" x14ac:dyDescent="0.25">
      <c r="A764" s="33">
        <v>46052</v>
      </c>
      <c r="B764" s="1">
        <v>420721196</v>
      </c>
      <c r="C764" s="2" t="s">
        <v>1289</v>
      </c>
      <c r="D764" s="34">
        <v>-14459.6</v>
      </c>
      <c r="E764" t="s">
        <v>20</v>
      </c>
      <c r="F764" s="2" t="e">
        <f>VLOOKUP(Tabla3[[#This Row],[CONTABLE]],'SAPROV (2)'!L:M,2,FALSE)</f>
        <v>#N/A</v>
      </c>
      <c r="H764" t="s">
        <v>1281</v>
      </c>
      <c r="I764" s="2" t="str">
        <f>VLOOKUP(Tabla3[[#This Row],[Deposito]],'SAPROV (2)'!D:E,2,FALSE)</f>
        <v>07</v>
      </c>
      <c r="K764" s="2" t="s">
        <v>101</v>
      </c>
      <c r="L764" s="23" t="str">
        <f>VLOOKUP(Tabla3[[#This Row],[PROVEEDOR]],'SAPROV (2)'!A:B,2,FALSE)</f>
        <v>36</v>
      </c>
      <c r="M764" t="str">
        <f>VLOOKUP(Tabla3[[#This Row],[SERVICIO]],'SAPROV (2)'!I:J,2,FALSE)</f>
        <v>SERV0011</v>
      </c>
      <c r="N764" t="s">
        <v>927</v>
      </c>
      <c r="P764">
        <f>VLOOKUP(Tabla3[[#This Row],[FECHA]],TASA[],2,FALSE)</f>
        <v>367.31</v>
      </c>
      <c r="Q764" s="35">
        <f t="shared" ref="Q764:Q795" si="100">D764/P764</f>
        <v>-39.366202934850669</v>
      </c>
      <c r="R764" t="s">
        <v>1268</v>
      </c>
    </row>
    <row r="765" spans="1:18" x14ac:dyDescent="0.25">
      <c r="A765" s="33">
        <v>46052</v>
      </c>
      <c r="B765" s="1">
        <v>320721195</v>
      </c>
      <c r="C765" s="2" t="s">
        <v>1289</v>
      </c>
      <c r="D765" s="34">
        <v>-14459.6</v>
      </c>
      <c r="E765" t="s">
        <v>20</v>
      </c>
      <c r="F765" s="2" t="e">
        <f>VLOOKUP(Tabla3[[#This Row],[CONTABLE]],'SAPROV (2)'!L:M,2,FALSE)</f>
        <v>#N/A</v>
      </c>
      <c r="H765" t="s">
        <v>1281</v>
      </c>
      <c r="I765" s="2" t="str">
        <f>VLOOKUP(Tabla3[[#This Row],[Deposito]],'SAPROV (2)'!D:E,2,FALSE)</f>
        <v>07</v>
      </c>
      <c r="K765" s="2" t="s">
        <v>101</v>
      </c>
      <c r="L765" s="23" t="str">
        <f>VLOOKUP(Tabla3[[#This Row],[PROVEEDOR]],'SAPROV (2)'!A:B,2,FALSE)</f>
        <v>36</v>
      </c>
      <c r="M765" t="str">
        <f>VLOOKUP(Tabla3[[#This Row],[SERVICIO]],'SAPROV (2)'!I:J,2,FALSE)</f>
        <v>SERV0011</v>
      </c>
      <c r="N765" t="s">
        <v>927</v>
      </c>
      <c r="P765">
        <f>VLOOKUP(Tabla3[[#This Row],[FECHA]],TASA[],2,FALSE)</f>
        <v>367.31</v>
      </c>
      <c r="Q765" s="35">
        <f t="shared" si="100"/>
        <v>-39.366202934850669</v>
      </c>
      <c r="R765" t="s">
        <v>1268</v>
      </c>
    </row>
    <row r="766" spans="1:18" x14ac:dyDescent="0.25">
      <c r="A766" s="33">
        <v>46052</v>
      </c>
      <c r="B766" s="1">
        <v>420721198</v>
      </c>
      <c r="C766" s="2" t="s">
        <v>1289</v>
      </c>
      <c r="D766" s="34">
        <v>-14459.6</v>
      </c>
      <c r="E766" t="s">
        <v>20</v>
      </c>
      <c r="F766" s="2" t="e">
        <f>VLOOKUP(Tabla3[[#This Row],[CONTABLE]],'SAPROV (2)'!L:M,2,FALSE)</f>
        <v>#N/A</v>
      </c>
      <c r="H766" t="s">
        <v>1281</v>
      </c>
      <c r="I766" s="2" t="str">
        <f>VLOOKUP(Tabla3[[#This Row],[Deposito]],'SAPROV (2)'!D:E,2,FALSE)</f>
        <v>07</v>
      </c>
      <c r="K766" s="2" t="s">
        <v>101</v>
      </c>
      <c r="L766" s="2" t="str">
        <f>VLOOKUP(Tabla3[[#This Row],[PROVEEDOR]],'SAPROV (2)'!A:B,2,FALSE)</f>
        <v>36</v>
      </c>
      <c r="M766" t="str">
        <f>VLOOKUP(Tabla3[[#This Row],[SERVICIO]],'SAPROV (2)'!I:J,2,FALSE)</f>
        <v>SERV0011</v>
      </c>
      <c r="N766" t="s">
        <v>927</v>
      </c>
      <c r="P766">
        <f>VLOOKUP(Tabla3[[#This Row],[FECHA]],TASA[],2,FALSE)</f>
        <v>367.31</v>
      </c>
      <c r="Q766" s="35">
        <f t="shared" si="100"/>
        <v>-39.366202934850669</v>
      </c>
      <c r="R766" t="s">
        <v>1268</v>
      </c>
    </row>
    <row r="767" spans="1:18" x14ac:dyDescent="0.25">
      <c r="A767" s="33">
        <v>46052</v>
      </c>
      <c r="B767" s="1">
        <v>420721199</v>
      </c>
      <c r="C767" s="2" t="s">
        <v>1289</v>
      </c>
      <c r="D767" s="34">
        <v>-14459.6</v>
      </c>
      <c r="E767" t="s">
        <v>20</v>
      </c>
      <c r="F767" s="2" t="e">
        <f>VLOOKUP(Tabla3[[#This Row],[CONTABLE]],'SAPROV (2)'!L:M,2,FALSE)</f>
        <v>#N/A</v>
      </c>
      <c r="H767" t="s">
        <v>1281</v>
      </c>
      <c r="I767" s="2" t="str">
        <f>VLOOKUP(Tabla3[[#This Row],[Deposito]],'SAPROV (2)'!D:E,2,FALSE)</f>
        <v>07</v>
      </c>
      <c r="K767" s="2" t="s">
        <v>101</v>
      </c>
      <c r="L767" s="23" t="str">
        <f>VLOOKUP(Tabla3[[#This Row],[PROVEEDOR]],'SAPROV (2)'!A:B,2,FALSE)</f>
        <v>36</v>
      </c>
      <c r="M767" t="str">
        <f>VLOOKUP(Tabla3[[#This Row],[SERVICIO]],'SAPROV (2)'!I:J,2,FALSE)</f>
        <v>SERV0011</v>
      </c>
      <c r="N767" t="s">
        <v>927</v>
      </c>
      <c r="P767">
        <f>VLOOKUP(Tabla3[[#This Row],[FECHA]],TASA[],2,FALSE)</f>
        <v>367.31</v>
      </c>
      <c r="Q767" s="35">
        <f t="shared" si="100"/>
        <v>-39.366202934850669</v>
      </c>
      <c r="R767" t="s">
        <v>1268</v>
      </c>
    </row>
    <row r="768" spans="1:18" x14ac:dyDescent="0.25">
      <c r="A768" s="33">
        <v>46052</v>
      </c>
      <c r="B768" s="1">
        <v>420721200</v>
      </c>
      <c r="C768" s="2" t="s">
        <v>1289</v>
      </c>
      <c r="D768" s="34">
        <v>-14459.6</v>
      </c>
      <c r="E768" t="s">
        <v>20</v>
      </c>
      <c r="F768" s="2" t="e">
        <f>VLOOKUP(Tabla3[[#This Row],[CONTABLE]],'SAPROV (2)'!L:M,2,FALSE)</f>
        <v>#N/A</v>
      </c>
      <c r="H768" t="s">
        <v>1281</v>
      </c>
      <c r="I768" s="2" t="str">
        <f>VLOOKUP(Tabla3[[#This Row],[Deposito]],'SAPROV (2)'!D:E,2,FALSE)</f>
        <v>07</v>
      </c>
      <c r="K768" s="2" t="s">
        <v>101</v>
      </c>
      <c r="L768" s="23" t="str">
        <f>VLOOKUP(Tabla3[[#This Row],[PROVEEDOR]],'SAPROV (2)'!A:B,2,FALSE)</f>
        <v>36</v>
      </c>
      <c r="M768" t="str">
        <f>VLOOKUP(Tabla3[[#This Row],[SERVICIO]],'SAPROV (2)'!I:J,2,FALSE)</f>
        <v>SERV0011</v>
      </c>
      <c r="N768" t="s">
        <v>927</v>
      </c>
      <c r="P768">
        <f>VLOOKUP(Tabla3[[#This Row],[FECHA]],TASA[],2,FALSE)</f>
        <v>367.31</v>
      </c>
      <c r="Q768" s="35">
        <f t="shared" si="100"/>
        <v>-39.366202934850669</v>
      </c>
      <c r="R768" t="s">
        <v>1268</v>
      </c>
    </row>
    <row r="769" spans="1:18" x14ac:dyDescent="0.25">
      <c r="A769" s="33">
        <v>46052</v>
      </c>
      <c r="B769" s="1">
        <v>420721197</v>
      </c>
      <c r="C769" s="2" t="s">
        <v>1290</v>
      </c>
      <c r="D769" s="34">
        <v>-14459.6</v>
      </c>
      <c r="E769" t="s">
        <v>20</v>
      </c>
      <c r="F769" s="2" t="e">
        <f>VLOOKUP(Tabla3[[#This Row],[CONTABLE]],'SAPROV (2)'!L:M,2,FALSE)</f>
        <v>#N/A</v>
      </c>
      <c r="H769" t="s">
        <v>1274</v>
      </c>
      <c r="I769" s="2" t="str">
        <f>VLOOKUP(Tabla3[[#This Row],[Deposito]],'SAPROV (2)'!D:E,2,FALSE)</f>
        <v>02</v>
      </c>
      <c r="K769" s="2" t="s">
        <v>101</v>
      </c>
      <c r="L769" s="2" t="str">
        <f>VLOOKUP(Tabla3[[#This Row],[PROVEEDOR]],'SAPROV (2)'!A:B,2,FALSE)</f>
        <v>36</v>
      </c>
      <c r="M769" t="str">
        <f>VLOOKUP(Tabla3[[#This Row],[SERVICIO]],'SAPROV (2)'!I:J,2,FALSE)</f>
        <v>SERV0011</v>
      </c>
      <c r="N769" t="s">
        <v>927</v>
      </c>
      <c r="P769">
        <f>VLOOKUP(Tabla3[[#This Row],[FECHA]],TASA[],2,FALSE)</f>
        <v>367.31</v>
      </c>
      <c r="Q769" s="35">
        <f t="shared" si="100"/>
        <v>-39.366202934850669</v>
      </c>
      <c r="R769" t="s">
        <v>1268</v>
      </c>
    </row>
    <row r="770" spans="1:18" x14ac:dyDescent="0.25">
      <c r="A770" s="33">
        <v>46052</v>
      </c>
      <c r="B770" s="1">
        <v>420721201</v>
      </c>
      <c r="C770" s="2" t="s">
        <v>1290</v>
      </c>
      <c r="D770" s="34">
        <v>-14459.6</v>
      </c>
      <c r="E770" t="s">
        <v>20</v>
      </c>
      <c r="F770" s="2" t="e">
        <f>VLOOKUP(Tabla3[[#This Row],[CONTABLE]],'SAPROV (2)'!L:M,2,FALSE)</f>
        <v>#N/A</v>
      </c>
      <c r="H770" t="s">
        <v>1274</v>
      </c>
      <c r="I770" s="2" t="str">
        <f>VLOOKUP(Tabla3[[#This Row],[Deposito]],'SAPROV (2)'!D:E,2,FALSE)</f>
        <v>02</v>
      </c>
      <c r="K770" s="2" t="s">
        <v>101</v>
      </c>
      <c r="L770" s="23" t="str">
        <f>VLOOKUP(Tabla3[[#This Row],[PROVEEDOR]],'SAPROV (2)'!A:B,2,FALSE)</f>
        <v>36</v>
      </c>
      <c r="M770" t="str">
        <f>VLOOKUP(Tabla3[[#This Row],[SERVICIO]],'SAPROV (2)'!I:J,2,FALSE)</f>
        <v>SERV0011</v>
      </c>
      <c r="N770" t="s">
        <v>927</v>
      </c>
      <c r="P770">
        <f>VLOOKUP(Tabla3[[#This Row],[FECHA]],TASA[],2,FALSE)</f>
        <v>367.31</v>
      </c>
      <c r="Q770" s="35">
        <f t="shared" si="100"/>
        <v>-39.366202934850669</v>
      </c>
      <c r="R770" t="s">
        <v>1268</v>
      </c>
    </row>
    <row r="771" spans="1:18" x14ac:dyDescent="0.25">
      <c r="A771" s="33">
        <v>46052</v>
      </c>
      <c r="B771" s="1">
        <v>520721205</v>
      </c>
      <c r="C771" s="2" t="s">
        <v>1290</v>
      </c>
      <c r="D771" s="34">
        <v>-14459.6</v>
      </c>
      <c r="E771" t="s">
        <v>20</v>
      </c>
      <c r="F771" s="2" t="e">
        <f>VLOOKUP(Tabla3[[#This Row],[CONTABLE]],'SAPROV (2)'!L:M,2,FALSE)</f>
        <v>#N/A</v>
      </c>
      <c r="H771" t="s">
        <v>1274</v>
      </c>
      <c r="I771" s="2" t="str">
        <f>VLOOKUP(Tabla3[[#This Row],[Deposito]],'SAPROV (2)'!D:E,2,FALSE)</f>
        <v>02</v>
      </c>
      <c r="K771" s="2" t="s">
        <v>101</v>
      </c>
      <c r="L771" s="23" t="str">
        <f>VLOOKUP(Tabla3[[#This Row],[PROVEEDOR]],'SAPROV (2)'!A:B,2,FALSE)</f>
        <v>36</v>
      </c>
      <c r="M771" t="str">
        <f>VLOOKUP(Tabla3[[#This Row],[SERVICIO]],'SAPROV (2)'!I:J,2,FALSE)</f>
        <v>SERV0011</v>
      </c>
      <c r="N771" t="s">
        <v>927</v>
      </c>
      <c r="P771">
        <f>VLOOKUP(Tabla3[[#This Row],[FECHA]],TASA[],2,FALSE)</f>
        <v>367.31</v>
      </c>
      <c r="Q771" s="35">
        <f t="shared" si="100"/>
        <v>-39.366202934850669</v>
      </c>
      <c r="R771" t="s">
        <v>1268</v>
      </c>
    </row>
    <row r="772" spans="1:18" x14ac:dyDescent="0.25">
      <c r="A772" s="33">
        <v>46052</v>
      </c>
      <c r="B772" s="1">
        <v>420721203</v>
      </c>
      <c r="C772" s="2" t="s">
        <v>1290</v>
      </c>
      <c r="D772" s="34">
        <v>-14459.6</v>
      </c>
      <c r="E772" t="s">
        <v>20</v>
      </c>
      <c r="F772" s="2" t="e">
        <f>VLOOKUP(Tabla3[[#This Row],[CONTABLE]],'SAPROV (2)'!L:M,2,FALSE)</f>
        <v>#N/A</v>
      </c>
      <c r="H772" t="s">
        <v>1274</v>
      </c>
      <c r="I772" s="2" t="str">
        <f>VLOOKUP(Tabla3[[#This Row],[Deposito]],'SAPROV (2)'!D:E,2,FALSE)</f>
        <v>02</v>
      </c>
      <c r="K772" s="2" t="s">
        <v>101</v>
      </c>
      <c r="L772" s="2" t="str">
        <f>VLOOKUP(Tabla3[[#This Row],[PROVEEDOR]],'SAPROV (2)'!A:B,2,FALSE)</f>
        <v>36</v>
      </c>
      <c r="M772" t="str">
        <f>VLOOKUP(Tabla3[[#This Row],[SERVICIO]],'SAPROV (2)'!I:J,2,FALSE)</f>
        <v>SERV0011</v>
      </c>
      <c r="N772" t="s">
        <v>927</v>
      </c>
      <c r="P772">
        <f>VLOOKUP(Tabla3[[#This Row],[FECHA]],TASA[],2,FALSE)</f>
        <v>367.31</v>
      </c>
      <c r="Q772" s="35">
        <f t="shared" si="100"/>
        <v>-39.366202934850669</v>
      </c>
      <c r="R772" t="s">
        <v>1268</v>
      </c>
    </row>
    <row r="773" spans="1:18" x14ac:dyDescent="0.25">
      <c r="A773" s="33">
        <v>46052</v>
      </c>
      <c r="B773" s="1">
        <v>420721202</v>
      </c>
      <c r="C773" s="2" t="s">
        <v>1290</v>
      </c>
      <c r="D773" s="34">
        <v>-14459.6</v>
      </c>
      <c r="E773" t="s">
        <v>20</v>
      </c>
      <c r="F773" s="2" t="e">
        <f>VLOOKUP(Tabla3[[#This Row],[CONTABLE]],'SAPROV (2)'!L:M,2,FALSE)</f>
        <v>#N/A</v>
      </c>
      <c r="H773" t="s">
        <v>1274</v>
      </c>
      <c r="I773" s="2" t="str">
        <f>VLOOKUP(Tabla3[[#This Row],[Deposito]],'SAPROV (2)'!D:E,2,FALSE)</f>
        <v>02</v>
      </c>
      <c r="K773" s="2" t="s">
        <v>101</v>
      </c>
      <c r="L773" s="23" t="str">
        <f>VLOOKUP(Tabla3[[#This Row],[PROVEEDOR]],'SAPROV (2)'!A:B,2,FALSE)</f>
        <v>36</v>
      </c>
      <c r="M773" t="str">
        <f>VLOOKUP(Tabla3[[#This Row],[SERVICIO]],'SAPROV (2)'!I:J,2,FALSE)</f>
        <v>SERV0011</v>
      </c>
      <c r="N773" t="s">
        <v>927</v>
      </c>
      <c r="P773">
        <f>VLOOKUP(Tabla3[[#This Row],[FECHA]],TASA[],2,FALSE)</f>
        <v>367.31</v>
      </c>
      <c r="Q773" s="35">
        <f t="shared" si="100"/>
        <v>-39.366202934850669</v>
      </c>
      <c r="R773" t="s">
        <v>1268</v>
      </c>
    </row>
    <row r="774" spans="1:18" x14ac:dyDescent="0.25">
      <c r="A774" s="33">
        <v>46052</v>
      </c>
      <c r="B774" s="1">
        <v>520721207</v>
      </c>
      <c r="C774" s="2" t="s">
        <v>1290</v>
      </c>
      <c r="D774" s="34">
        <v>-14459.6</v>
      </c>
      <c r="E774" t="s">
        <v>20</v>
      </c>
      <c r="F774" s="2" t="e">
        <f>VLOOKUP(Tabla3[[#This Row],[CONTABLE]],'SAPROV (2)'!L:M,2,FALSE)</f>
        <v>#N/A</v>
      </c>
      <c r="H774" t="s">
        <v>1274</v>
      </c>
      <c r="I774" s="2" t="str">
        <f>VLOOKUP(Tabla3[[#This Row],[Deposito]],'SAPROV (2)'!D:E,2,FALSE)</f>
        <v>02</v>
      </c>
      <c r="K774" s="2" t="s">
        <v>101</v>
      </c>
      <c r="L774" s="23" t="str">
        <f>VLOOKUP(Tabla3[[#This Row],[PROVEEDOR]],'SAPROV (2)'!A:B,2,FALSE)</f>
        <v>36</v>
      </c>
      <c r="M774" t="str">
        <f>VLOOKUP(Tabla3[[#This Row],[SERVICIO]],'SAPROV (2)'!I:J,2,FALSE)</f>
        <v>SERV0011</v>
      </c>
      <c r="N774" t="s">
        <v>927</v>
      </c>
      <c r="P774">
        <f>VLOOKUP(Tabla3[[#This Row],[FECHA]],TASA[],2,FALSE)</f>
        <v>367.31</v>
      </c>
      <c r="Q774" s="35">
        <f t="shared" si="100"/>
        <v>-39.366202934850669</v>
      </c>
      <c r="R774" t="s">
        <v>1268</v>
      </c>
    </row>
    <row r="775" spans="1:18" x14ac:dyDescent="0.25">
      <c r="A775" s="33">
        <v>46052</v>
      </c>
      <c r="B775" s="1">
        <v>420721204</v>
      </c>
      <c r="C775" s="2" t="s">
        <v>1290</v>
      </c>
      <c r="D775" s="34">
        <v>-14459.6</v>
      </c>
      <c r="E775" t="s">
        <v>20</v>
      </c>
      <c r="F775" s="2" t="e">
        <f>VLOOKUP(Tabla3[[#This Row],[CONTABLE]],'SAPROV (2)'!L:M,2,FALSE)</f>
        <v>#N/A</v>
      </c>
      <c r="H775" t="s">
        <v>1274</v>
      </c>
      <c r="I775" s="2" t="str">
        <f>VLOOKUP(Tabla3[[#This Row],[Deposito]],'SAPROV (2)'!D:E,2,FALSE)</f>
        <v>02</v>
      </c>
      <c r="K775" s="2" t="s">
        <v>101</v>
      </c>
      <c r="L775" s="2" t="str">
        <f>VLOOKUP(Tabla3[[#This Row],[PROVEEDOR]],'SAPROV (2)'!A:B,2,FALSE)</f>
        <v>36</v>
      </c>
      <c r="M775" t="str">
        <f>VLOOKUP(Tabla3[[#This Row],[SERVICIO]],'SAPROV (2)'!I:J,2,FALSE)</f>
        <v>SERV0011</v>
      </c>
      <c r="N775" t="s">
        <v>927</v>
      </c>
      <c r="P775">
        <f>VLOOKUP(Tabla3[[#This Row],[FECHA]],TASA[],2,FALSE)</f>
        <v>367.31</v>
      </c>
      <c r="Q775" s="35">
        <f t="shared" si="100"/>
        <v>-39.366202934850669</v>
      </c>
      <c r="R775" t="s">
        <v>1268</v>
      </c>
    </row>
    <row r="776" spans="1:18" x14ac:dyDescent="0.25">
      <c r="A776" s="33">
        <v>46052</v>
      </c>
      <c r="B776" s="1">
        <v>520721210</v>
      </c>
      <c r="C776" s="2" t="s">
        <v>1291</v>
      </c>
      <c r="D776" s="34">
        <v>-14459.6</v>
      </c>
      <c r="E776" t="s">
        <v>20</v>
      </c>
      <c r="F776" s="2" t="e">
        <f>VLOOKUP(Tabla3[[#This Row],[CONTABLE]],'SAPROV (2)'!L:M,2,FALSE)</f>
        <v>#N/A</v>
      </c>
      <c r="H776" t="s">
        <v>1280</v>
      </c>
      <c r="I776" s="2" t="str">
        <f>VLOOKUP(Tabla3[[#This Row],[Deposito]],'SAPROV (2)'!D:E,2,FALSE)</f>
        <v>01</v>
      </c>
      <c r="K776" s="2" t="s">
        <v>101</v>
      </c>
      <c r="L776" s="23" t="str">
        <f>VLOOKUP(Tabla3[[#This Row],[PROVEEDOR]],'SAPROV (2)'!A:B,2,FALSE)</f>
        <v>36</v>
      </c>
      <c r="M776" t="str">
        <f>VLOOKUP(Tabla3[[#This Row],[SERVICIO]],'SAPROV (2)'!I:J,2,FALSE)</f>
        <v>SERV0011</v>
      </c>
      <c r="N776" t="s">
        <v>927</v>
      </c>
      <c r="P776">
        <f>VLOOKUP(Tabla3[[#This Row],[FECHA]],TASA[],2,FALSE)</f>
        <v>367.31</v>
      </c>
      <c r="Q776" s="35">
        <f t="shared" si="100"/>
        <v>-39.366202934850669</v>
      </c>
      <c r="R776" t="s">
        <v>1268</v>
      </c>
    </row>
    <row r="777" spans="1:18" x14ac:dyDescent="0.25">
      <c r="A777" s="33">
        <v>46052</v>
      </c>
      <c r="B777" s="1">
        <v>520721208</v>
      </c>
      <c r="C777" s="2" t="s">
        <v>1291</v>
      </c>
      <c r="D777" s="34">
        <v>-14459.6</v>
      </c>
      <c r="E777" t="s">
        <v>20</v>
      </c>
      <c r="F777" s="2" t="e">
        <f>VLOOKUP(Tabla3[[#This Row],[CONTABLE]],'SAPROV (2)'!L:M,2,FALSE)</f>
        <v>#N/A</v>
      </c>
      <c r="H777" t="s">
        <v>1280</v>
      </c>
      <c r="I777" s="2" t="str">
        <f>VLOOKUP(Tabla3[[#This Row],[Deposito]],'SAPROV (2)'!D:E,2,FALSE)</f>
        <v>01</v>
      </c>
      <c r="K777" s="2" t="s">
        <v>101</v>
      </c>
      <c r="L777" s="23" t="str">
        <f>VLOOKUP(Tabla3[[#This Row],[PROVEEDOR]],'SAPROV (2)'!A:B,2,FALSE)</f>
        <v>36</v>
      </c>
      <c r="M777" t="str">
        <f>VLOOKUP(Tabla3[[#This Row],[SERVICIO]],'SAPROV (2)'!I:J,2,FALSE)</f>
        <v>SERV0011</v>
      </c>
      <c r="N777" t="s">
        <v>927</v>
      </c>
      <c r="P777">
        <f>VLOOKUP(Tabla3[[#This Row],[FECHA]],TASA[],2,FALSE)</f>
        <v>367.31</v>
      </c>
      <c r="Q777" s="35">
        <f t="shared" si="100"/>
        <v>-39.366202934850669</v>
      </c>
      <c r="R777" t="s">
        <v>1268</v>
      </c>
    </row>
    <row r="778" spans="1:18" x14ac:dyDescent="0.25">
      <c r="A778" s="33">
        <v>46052</v>
      </c>
      <c r="B778" s="1">
        <v>520721206</v>
      </c>
      <c r="C778" s="2" t="s">
        <v>1291</v>
      </c>
      <c r="D778" s="34">
        <v>-14459.6</v>
      </c>
      <c r="E778" t="s">
        <v>20</v>
      </c>
      <c r="F778" s="2" t="e">
        <f>VLOOKUP(Tabla3[[#This Row],[CONTABLE]],'SAPROV (2)'!L:M,2,FALSE)</f>
        <v>#N/A</v>
      </c>
      <c r="H778" t="s">
        <v>1280</v>
      </c>
      <c r="I778" s="2" t="str">
        <f>VLOOKUP(Tabla3[[#This Row],[Deposito]],'SAPROV (2)'!D:E,2,FALSE)</f>
        <v>01</v>
      </c>
      <c r="K778" s="2" t="s">
        <v>101</v>
      </c>
      <c r="L778" s="2" t="str">
        <f>VLOOKUP(Tabla3[[#This Row],[PROVEEDOR]],'SAPROV (2)'!A:B,2,FALSE)</f>
        <v>36</v>
      </c>
      <c r="M778" t="str">
        <f>VLOOKUP(Tabla3[[#This Row],[SERVICIO]],'SAPROV (2)'!I:J,2,FALSE)</f>
        <v>SERV0011</v>
      </c>
      <c r="N778" t="s">
        <v>927</v>
      </c>
      <c r="P778">
        <f>VLOOKUP(Tabla3[[#This Row],[FECHA]],TASA[],2,FALSE)</f>
        <v>367.31</v>
      </c>
      <c r="Q778" s="35">
        <f t="shared" si="100"/>
        <v>-39.366202934850669</v>
      </c>
      <c r="R778" t="s">
        <v>1268</v>
      </c>
    </row>
    <row r="779" spans="1:18" x14ac:dyDescent="0.25">
      <c r="A779" s="33">
        <v>46052</v>
      </c>
      <c r="B779" s="1">
        <v>520721211</v>
      </c>
      <c r="C779" s="2" t="s">
        <v>1291</v>
      </c>
      <c r="D779" s="34">
        <v>-14459.6</v>
      </c>
      <c r="E779" t="s">
        <v>20</v>
      </c>
      <c r="F779" s="2" t="e">
        <f>VLOOKUP(Tabla3[[#This Row],[CONTABLE]],'SAPROV (2)'!L:M,2,FALSE)</f>
        <v>#N/A</v>
      </c>
      <c r="H779" t="s">
        <v>1280</v>
      </c>
      <c r="I779" s="2" t="str">
        <f>VLOOKUP(Tabla3[[#This Row],[Deposito]],'SAPROV (2)'!D:E,2,FALSE)</f>
        <v>01</v>
      </c>
      <c r="K779" s="2" t="s">
        <v>101</v>
      </c>
      <c r="L779" s="23" t="str">
        <f>VLOOKUP(Tabla3[[#This Row],[PROVEEDOR]],'SAPROV (2)'!A:B,2,FALSE)</f>
        <v>36</v>
      </c>
      <c r="M779" t="str">
        <f>VLOOKUP(Tabla3[[#This Row],[SERVICIO]],'SAPROV (2)'!I:J,2,FALSE)</f>
        <v>SERV0011</v>
      </c>
      <c r="N779" t="s">
        <v>927</v>
      </c>
      <c r="P779">
        <f>VLOOKUP(Tabla3[[#This Row],[FECHA]],TASA[],2,FALSE)</f>
        <v>367.31</v>
      </c>
      <c r="Q779" s="35">
        <f t="shared" si="100"/>
        <v>-39.366202934850669</v>
      </c>
      <c r="R779" t="s">
        <v>1268</v>
      </c>
    </row>
    <row r="780" spans="1:18" x14ac:dyDescent="0.25">
      <c r="A780" s="33">
        <v>46052</v>
      </c>
      <c r="B780" s="1">
        <v>520721214</v>
      </c>
      <c r="C780" s="2" t="s">
        <v>1291</v>
      </c>
      <c r="D780" s="34">
        <v>-14459.6</v>
      </c>
      <c r="E780" t="s">
        <v>20</v>
      </c>
      <c r="F780" s="2" t="e">
        <f>VLOOKUP(Tabla3[[#This Row],[CONTABLE]],'SAPROV (2)'!L:M,2,FALSE)</f>
        <v>#N/A</v>
      </c>
      <c r="H780" t="s">
        <v>1280</v>
      </c>
      <c r="I780" s="2" t="str">
        <f>VLOOKUP(Tabla3[[#This Row],[Deposito]],'SAPROV (2)'!D:E,2,FALSE)</f>
        <v>01</v>
      </c>
      <c r="K780" s="2" t="s">
        <v>101</v>
      </c>
      <c r="L780" s="23" t="str">
        <f>VLOOKUP(Tabla3[[#This Row],[PROVEEDOR]],'SAPROV (2)'!A:B,2,FALSE)</f>
        <v>36</v>
      </c>
      <c r="M780" t="str">
        <f>VLOOKUP(Tabla3[[#This Row],[SERVICIO]],'SAPROV (2)'!I:J,2,FALSE)</f>
        <v>SERV0011</v>
      </c>
      <c r="N780" t="s">
        <v>927</v>
      </c>
      <c r="P780">
        <f>VLOOKUP(Tabla3[[#This Row],[FECHA]],TASA[],2,FALSE)</f>
        <v>367.31</v>
      </c>
      <c r="Q780" s="35">
        <f t="shared" si="100"/>
        <v>-39.366202934850669</v>
      </c>
      <c r="R780" t="s">
        <v>1268</v>
      </c>
    </row>
    <row r="781" spans="1:18" x14ac:dyDescent="0.25">
      <c r="A781" s="33">
        <v>46052</v>
      </c>
      <c r="B781" s="1">
        <v>620721216</v>
      </c>
      <c r="C781" s="2" t="s">
        <v>1291</v>
      </c>
      <c r="D781" s="34">
        <v>-14459.6</v>
      </c>
      <c r="E781" t="s">
        <v>20</v>
      </c>
      <c r="F781" s="2" t="e">
        <f>VLOOKUP(Tabla3[[#This Row],[CONTABLE]],'SAPROV (2)'!L:M,2,FALSE)</f>
        <v>#N/A</v>
      </c>
      <c r="H781" t="s">
        <v>1280</v>
      </c>
      <c r="I781" s="2" t="str">
        <f>VLOOKUP(Tabla3[[#This Row],[Deposito]],'SAPROV (2)'!D:E,2,FALSE)</f>
        <v>01</v>
      </c>
      <c r="K781" s="2" t="s">
        <v>101</v>
      </c>
      <c r="L781" s="2" t="str">
        <f>VLOOKUP(Tabla3[[#This Row],[PROVEEDOR]],'SAPROV (2)'!A:B,2,FALSE)</f>
        <v>36</v>
      </c>
      <c r="M781" t="str">
        <f>VLOOKUP(Tabla3[[#This Row],[SERVICIO]],'SAPROV (2)'!I:J,2,FALSE)</f>
        <v>SERV0011</v>
      </c>
      <c r="N781" t="s">
        <v>927</v>
      </c>
      <c r="P781">
        <f>VLOOKUP(Tabla3[[#This Row],[FECHA]],TASA[],2,FALSE)</f>
        <v>367.31</v>
      </c>
      <c r="Q781" s="35">
        <f t="shared" si="100"/>
        <v>-39.366202934850669</v>
      </c>
      <c r="R781" t="s">
        <v>1268</v>
      </c>
    </row>
    <row r="782" spans="1:18" x14ac:dyDescent="0.25">
      <c r="A782" s="33">
        <v>46052</v>
      </c>
      <c r="B782" s="1">
        <v>520721215</v>
      </c>
      <c r="C782" s="2" t="s">
        <v>1291</v>
      </c>
      <c r="D782" s="34">
        <v>-14459.6</v>
      </c>
      <c r="E782" t="s">
        <v>20</v>
      </c>
      <c r="F782" s="2" t="e">
        <f>VLOOKUP(Tabla3[[#This Row],[CONTABLE]],'SAPROV (2)'!L:M,2,FALSE)</f>
        <v>#N/A</v>
      </c>
      <c r="H782" t="s">
        <v>1280</v>
      </c>
      <c r="I782" s="2" t="str">
        <f>VLOOKUP(Tabla3[[#This Row],[Deposito]],'SAPROV (2)'!D:E,2,FALSE)</f>
        <v>01</v>
      </c>
      <c r="K782" s="2" t="s">
        <v>101</v>
      </c>
      <c r="L782" s="23" t="str">
        <f>VLOOKUP(Tabla3[[#This Row],[PROVEEDOR]],'SAPROV (2)'!A:B,2,FALSE)</f>
        <v>36</v>
      </c>
      <c r="M782" t="str">
        <f>VLOOKUP(Tabla3[[#This Row],[SERVICIO]],'SAPROV (2)'!I:J,2,FALSE)</f>
        <v>SERV0011</v>
      </c>
      <c r="N782" t="s">
        <v>927</v>
      </c>
      <c r="P782">
        <f>VLOOKUP(Tabla3[[#This Row],[FECHA]],TASA[],2,FALSE)</f>
        <v>367.31</v>
      </c>
      <c r="Q782" s="35">
        <f t="shared" si="100"/>
        <v>-39.366202934850669</v>
      </c>
      <c r="R782" t="s">
        <v>1268</v>
      </c>
    </row>
    <row r="783" spans="1:18" x14ac:dyDescent="0.25">
      <c r="A783" s="33">
        <v>46052</v>
      </c>
      <c r="B783" s="1">
        <v>620721218</v>
      </c>
      <c r="C783" s="2" t="s">
        <v>1265</v>
      </c>
      <c r="D783" s="34">
        <v>-308.25</v>
      </c>
      <c r="E783" t="s">
        <v>20</v>
      </c>
      <c r="F783" s="2" t="e">
        <f>VLOOKUP(Tabla3[[#This Row],[CONTABLE]],'SAPROV (2)'!L:M,2,FALSE)</f>
        <v>#N/A</v>
      </c>
      <c r="H783" t="s">
        <v>1278</v>
      </c>
      <c r="I783" s="2" t="str">
        <f>VLOOKUP(Tabla3[[#This Row],[Deposito]],'SAPROV (2)'!D:E,2,FALSE)</f>
        <v>06</v>
      </c>
      <c r="K783" s="2" t="s">
        <v>101</v>
      </c>
      <c r="L783" s="23" t="str">
        <f>VLOOKUP(Tabla3[[#This Row],[PROVEEDOR]],'SAPROV (2)'!A:B,2,FALSE)</f>
        <v>36</v>
      </c>
      <c r="M783" t="str">
        <f>VLOOKUP(Tabla3[[#This Row],[SERVICIO]],'SAPROV (2)'!I:J,2,FALSE)</f>
        <v>SERV0011</v>
      </c>
      <c r="N783" t="s">
        <v>927</v>
      </c>
      <c r="P783">
        <f>VLOOKUP(Tabla3[[#This Row],[FECHA]],TASA[],2,FALSE)</f>
        <v>367.31</v>
      </c>
      <c r="Q783" s="35">
        <f t="shared" si="100"/>
        <v>-0.8392093871661539</v>
      </c>
      <c r="R783" t="s">
        <v>1268</v>
      </c>
    </row>
    <row r="784" spans="1:18" x14ac:dyDescent="0.25">
      <c r="A784" s="33">
        <v>46052</v>
      </c>
      <c r="B784" s="1">
        <v>520721212</v>
      </c>
      <c r="C784" s="2" t="s">
        <v>1291</v>
      </c>
      <c r="D784" s="34">
        <v>-14459.6</v>
      </c>
      <c r="E784" t="s">
        <v>20</v>
      </c>
      <c r="F784" s="2" t="e">
        <f>VLOOKUP(Tabla3[[#This Row],[CONTABLE]],'SAPROV (2)'!L:M,2,FALSE)</f>
        <v>#N/A</v>
      </c>
      <c r="H784" t="s">
        <v>1280</v>
      </c>
      <c r="I784" s="2" t="str">
        <f>VLOOKUP(Tabla3[[#This Row],[Deposito]],'SAPROV (2)'!D:E,2,FALSE)</f>
        <v>01</v>
      </c>
      <c r="K784" s="2" t="s">
        <v>101</v>
      </c>
      <c r="L784" s="2" t="str">
        <f>VLOOKUP(Tabla3[[#This Row],[PROVEEDOR]],'SAPROV (2)'!A:B,2,FALSE)</f>
        <v>36</v>
      </c>
      <c r="M784" t="str">
        <f>VLOOKUP(Tabla3[[#This Row],[SERVICIO]],'SAPROV (2)'!I:J,2,FALSE)</f>
        <v>SERV0011</v>
      </c>
      <c r="N784" t="s">
        <v>927</v>
      </c>
      <c r="P784">
        <f>VLOOKUP(Tabla3[[#This Row],[FECHA]],TASA[],2,FALSE)</f>
        <v>367.31</v>
      </c>
      <c r="Q784" s="35">
        <f t="shared" si="100"/>
        <v>-39.366202934850669</v>
      </c>
      <c r="R784" t="s">
        <v>1268</v>
      </c>
    </row>
    <row r="785" spans="1:18" x14ac:dyDescent="0.25">
      <c r="A785" s="33">
        <v>46052</v>
      </c>
      <c r="B785" s="1">
        <v>620721217</v>
      </c>
      <c r="C785" s="2" t="s">
        <v>1265</v>
      </c>
      <c r="D785" s="34">
        <v>-308.25</v>
      </c>
      <c r="E785" t="s">
        <v>20</v>
      </c>
      <c r="F785" s="2" t="e">
        <f>VLOOKUP(Tabla3[[#This Row],[CONTABLE]],'SAPROV (2)'!L:M,2,FALSE)</f>
        <v>#N/A</v>
      </c>
      <c r="H785" t="s">
        <v>1278</v>
      </c>
      <c r="I785" s="2" t="str">
        <f>VLOOKUP(Tabla3[[#This Row],[Deposito]],'SAPROV (2)'!D:E,2,FALSE)</f>
        <v>06</v>
      </c>
      <c r="K785" s="2" t="s">
        <v>101</v>
      </c>
      <c r="L785" s="23" t="str">
        <f>VLOOKUP(Tabla3[[#This Row],[PROVEEDOR]],'SAPROV (2)'!A:B,2,FALSE)</f>
        <v>36</v>
      </c>
      <c r="M785" t="str">
        <f>VLOOKUP(Tabla3[[#This Row],[SERVICIO]],'SAPROV (2)'!I:J,2,FALSE)</f>
        <v>SERV0011</v>
      </c>
      <c r="N785" t="s">
        <v>927</v>
      </c>
      <c r="P785">
        <f>VLOOKUP(Tabla3[[#This Row],[FECHA]],TASA[],2,FALSE)</f>
        <v>367.31</v>
      </c>
      <c r="Q785" s="35">
        <f t="shared" si="100"/>
        <v>-0.8392093871661539</v>
      </c>
      <c r="R785" t="s">
        <v>1268</v>
      </c>
    </row>
    <row r="786" spans="1:18" x14ac:dyDescent="0.25">
      <c r="A786" s="33">
        <v>46052</v>
      </c>
      <c r="B786" s="1">
        <v>620721221</v>
      </c>
      <c r="C786" s="2" t="s">
        <v>1265</v>
      </c>
      <c r="D786" s="34">
        <v>-308.25</v>
      </c>
      <c r="E786" t="s">
        <v>20</v>
      </c>
      <c r="F786" s="2" t="e">
        <f>VLOOKUP(Tabla3[[#This Row],[CONTABLE]],'SAPROV (2)'!L:M,2,FALSE)</f>
        <v>#N/A</v>
      </c>
      <c r="H786" t="s">
        <v>1278</v>
      </c>
      <c r="I786" s="2" t="str">
        <f>VLOOKUP(Tabla3[[#This Row],[Deposito]],'SAPROV (2)'!D:E,2,FALSE)</f>
        <v>06</v>
      </c>
      <c r="K786" s="2" t="s">
        <v>101</v>
      </c>
      <c r="L786" s="23" t="str">
        <f>VLOOKUP(Tabla3[[#This Row],[PROVEEDOR]],'SAPROV (2)'!A:B,2,FALSE)</f>
        <v>36</v>
      </c>
      <c r="M786" t="str">
        <f>VLOOKUP(Tabla3[[#This Row],[SERVICIO]],'SAPROV (2)'!I:J,2,FALSE)</f>
        <v>SERV0011</v>
      </c>
      <c r="N786" t="s">
        <v>927</v>
      </c>
      <c r="P786">
        <f>VLOOKUP(Tabla3[[#This Row],[FECHA]],TASA[],2,FALSE)</f>
        <v>367.31</v>
      </c>
      <c r="Q786" s="35">
        <f t="shared" si="100"/>
        <v>-0.8392093871661539</v>
      </c>
      <c r="R786" t="s">
        <v>1268</v>
      </c>
    </row>
    <row r="787" spans="1:18" x14ac:dyDescent="0.25">
      <c r="A787" s="33">
        <v>46052</v>
      </c>
      <c r="B787" s="1">
        <v>620721219</v>
      </c>
      <c r="C787" s="2" t="s">
        <v>1265</v>
      </c>
      <c r="D787" s="34">
        <v>-308.25</v>
      </c>
      <c r="E787" t="s">
        <v>20</v>
      </c>
      <c r="F787" s="2" t="e">
        <f>VLOOKUP(Tabla3[[#This Row],[CONTABLE]],'SAPROV (2)'!L:M,2,FALSE)</f>
        <v>#N/A</v>
      </c>
      <c r="H787" t="s">
        <v>1278</v>
      </c>
      <c r="I787" s="2" t="str">
        <f>VLOOKUP(Tabla3[[#This Row],[Deposito]],'SAPROV (2)'!D:E,2,FALSE)</f>
        <v>06</v>
      </c>
      <c r="K787" s="2" t="s">
        <v>101</v>
      </c>
      <c r="L787" s="2" t="str">
        <f>VLOOKUP(Tabla3[[#This Row],[PROVEEDOR]],'SAPROV (2)'!A:B,2,FALSE)</f>
        <v>36</v>
      </c>
      <c r="M787" t="str">
        <f>VLOOKUP(Tabla3[[#This Row],[SERVICIO]],'SAPROV (2)'!I:J,2,FALSE)</f>
        <v>SERV0011</v>
      </c>
      <c r="N787" t="s">
        <v>927</v>
      </c>
      <c r="P787">
        <f>VLOOKUP(Tabla3[[#This Row],[FECHA]],TASA[],2,FALSE)</f>
        <v>367.31</v>
      </c>
      <c r="Q787" s="35">
        <f t="shared" si="100"/>
        <v>-0.8392093871661539</v>
      </c>
      <c r="R787" t="s">
        <v>1268</v>
      </c>
    </row>
    <row r="788" spans="1:18" x14ac:dyDescent="0.25">
      <c r="A788" s="33">
        <v>46052</v>
      </c>
      <c r="B788" s="1">
        <v>620721223</v>
      </c>
      <c r="C788" s="2" t="s">
        <v>1265</v>
      </c>
      <c r="D788" s="34">
        <v>-308.25</v>
      </c>
      <c r="E788" t="s">
        <v>20</v>
      </c>
      <c r="F788" s="2" t="e">
        <f>VLOOKUP(Tabla3[[#This Row],[CONTABLE]],'SAPROV (2)'!L:M,2,FALSE)</f>
        <v>#N/A</v>
      </c>
      <c r="H788" t="s">
        <v>1278</v>
      </c>
      <c r="I788" s="2" t="str">
        <f>VLOOKUP(Tabla3[[#This Row],[Deposito]],'SAPROV (2)'!D:E,2,FALSE)</f>
        <v>06</v>
      </c>
      <c r="K788" s="2" t="s">
        <v>101</v>
      </c>
      <c r="L788" s="23" t="str">
        <f>VLOOKUP(Tabla3[[#This Row],[PROVEEDOR]],'SAPROV (2)'!A:B,2,FALSE)</f>
        <v>36</v>
      </c>
      <c r="M788" t="str">
        <f>VLOOKUP(Tabla3[[#This Row],[SERVICIO]],'SAPROV (2)'!I:J,2,FALSE)</f>
        <v>SERV0011</v>
      </c>
      <c r="N788" t="s">
        <v>927</v>
      </c>
      <c r="P788">
        <f>VLOOKUP(Tabla3[[#This Row],[FECHA]],TASA[],2,FALSE)</f>
        <v>367.31</v>
      </c>
      <c r="Q788" s="35">
        <f t="shared" si="100"/>
        <v>-0.8392093871661539</v>
      </c>
      <c r="R788" t="s">
        <v>1268</v>
      </c>
    </row>
    <row r="789" spans="1:18" x14ac:dyDescent="0.25">
      <c r="A789" s="33">
        <v>46052</v>
      </c>
      <c r="B789" s="1">
        <v>620721224</v>
      </c>
      <c r="C789" s="2" t="s">
        <v>1265</v>
      </c>
      <c r="D789" s="34">
        <v>-308.25</v>
      </c>
      <c r="E789" t="s">
        <v>20</v>
      </c>
      <c r="F789" s="2" t="e">
        <f>VLOOKUP(Tabla3[[#This Row],[CONTABLE]],'SAPROV (2)'!L:M,2,FALSE)</f>
        <v>#N/A</v>
      </c>
      <c r="H789" t="s">
        <v>1278</v>
      </c>
      <c r="I789" s="2" t="str">
        <f>VLOOKUP(Tabla3[[#This Row],[Deposito]],'SAPROV (2)'!D:E,2,FALSE)</f>
        <v>06</v>
      </c>
      <c r="K789" s="2" t="s">
        <v>101</v>
      </c>
      <c r="L789" s="23" t="str">
        <f>VLOOKUP(Tabla3[[#This Row],[PROVEEDOR]],'SAPROV (2)'!A:B,2,FALSE)</f>
        <v>36</v>
      </c>
      <c r="M789" t="str">
        <f>VLOOKUP(Tabla3[[#This Row],[SERVICIO]],'SAPROV (2)'!I:J,2,FALSE)</f>
        <v>SERV0011</v>
      </c>
      <c r="N789" t="s">
        <v>927</v>
      </c>
      <c r="P789">
        <f>VLOOKUP(Tabla3[[#This Row],[FECHA]],TASA[],2,FALSE)</f>
        <v>367.31</v>
      </c>
      <c r="Q789" s="35">
        <f t="shared" si="100"/>
        <v>-0.8392093871661539</v>
      </c>
      <c r="R789" t="s">
        <v>1268</v>
      </c>
    </row>
    <row r="790" spans="1:18" x14ac:dyDescent="0.25">
      <c r="A790" s="33">
        <v>46052</v>
      </c>
      <c r="B790" s="1">
        <v>620721226</v>
      </c>
      <c r="C790" s="2" t="s">
        <v>1265</v>
      </c>
      <c r="D790" s="34">
        <v>-308.25</v>
      </c>
      <c r="E790" t="s">
        <v>20</v>
      </c>
      <c r="F790" s="2" t="e">
        <f>VLOOKUP(Tabla3[[#This Row],[CONTABLE]],'SAPROV (2)'!L:M,2,FALSE)</f>
        <v>#N/A</v>
      </c>
      <c r="H790" t="s">
        <v>1278</v>
      </c>
      <c r="I790" s="2" t="str">
        <f>VLOOKUP(Tabla3[[#This Row],[Deposito]],'SAPROV (2)'!D:E,2,FALSE)</f>
        <v>06</v>
      </c>
      <c r="K790" s="2" t="s">
        <v>101</v>
      </c>
      <c r="L790" s="2" t="str">
        <f>VLOOKUP(Tabla3[[#This Row],[PROVEEDOR]],'SAPROV (2)'!A:B,2,FALSE)</f>
        <v>36</v>
      </c>
      <c r="M790" t="str">
        <f>VLOOKUP(Tabla3[[#This Row],[SERVICIO]],'SAPROV (2)'!I:J,2,FALSE)</f>
        <v>SERV0011</v>
      </c>
      <c r="N790" t="s">
        <v>927</v>
      </c>
      <c r="P790">
        <f>VLOOKUP(Tabla3[[#This Row],[FECHA]],TASA[],2,FALSE)</f>
        <v>367.31</v>
      </c>
      <c r="Q790" s="35">
        <f t="shared" si="100"/>
        <v>-0.8392093871661539</v>
      </c>
      <c r="R790" t="s">
        <v>1268</v>
      </c>
    </row>
    <row r="791" spans="1:18" x14ac:dyDescent="0.25">
      <c r="A791" s="33">
        <v>46052</v>
      </c>
      <c r="B791" s="1">
        <v>720721228</v>
      </c>
      <c r="C791" s="2" t="s">
        <v>1265</v>
      </c>
      <c r="D791" s="34">
        <v>-308.25</v>
      </c>
      <c r="E791" t="s">
        <v>20</v>
      </c>
      <c r="F791" s="2" t="e">
        <f>VLOOKUP(Tabla3[[#This Row],[CONTABLE]],'SAPROV (2)'!L:M,2,FALSE)</f>
        <v>#N/A</v>
      </c>
      <c r="H791" t="s">
        <v>1278</v>
      </c>
      <c r="I791" s="2" t="str">
        <f>VLOOKUP(Tabla3[[#This Row],[Deposito]],'SAPROV (2)'!D:E,2,FALSE)</f>
        <v>06</v>
      </c>
      <c r="K791" s="2" t="s">
        <v>101</v>
      </c>
      <c r="L791" s="23" t="str">
        <f>VLOOKUP(Tabla3[[#This Row],[PROVEEDOR]],'SAPROV (2)'!A:B,2,FALSE)</f>
        <v>36</v>
      </c>
      <c r="M791" t="str">
        <f>VLOOKUP(Tabla3[[#This Row],[SERVICIO]],'SAPROV (2)'!I:J,2,FALSE)</f>
        <v>SERV0011</v>
      </c>
      <c r="N791" t="s">
        <v>927</v>
      </c>
      <c r="P791">
        <f>VLOOKUP(Tabla3[[#This Row],[FECHA]],TASA[],2,FALSE)</f>
        <v>367.31</v>
      </c>
      <c r="Q791" s="35">
        <f t="shared" si="100"/>
        <v>-0.8392093871661539</v>
      </c>
      <c r="R791" t="s">
        <v>1268</v>
      </c>
    </row>
    <row r="792" spans="1:18" x14ac:dyDescent="0.25">
      <c r="A792" s="33">
        <v>46052</v>
      </c>
      <c r="B792" s="1">
        <v>620721227</v>
      </c>
      <c r="C792" s="2" t="s">
        <v>1265</v>
      </c>
      <c r="D792" s="34">
        <v>-308.25</v>
      </c>
      <c r="E792" t="s">
        <v>20</v>
      </c>
      <c r="F792" s="2" t="e">
        <f>VLOOKUP(Tabla3[[#This Row],[CONTABLE]],'SAPROV (2)'!L:M,2,FALSE)</f>
        <v>#N/A</v>
      </c>
      <c r="H792" t="s">
        <v>1278</v>
      </c>
      <c r="I792" s="2" t="str">
        <f>VLOOKUP(Tabla3[[#This Row],[Deposito]],'SAPROV (2)'!D:E,2,FALSE)</f>
        <v>06</v>
      </c>
      <c r="K792" s="2" t="s">
        <v>101</v>
      </c>
      <c r="L792" s="23" t="str">
        <f>VLOOKUP(Tabla3[[#This Row],[PROVEEDOR]],'SAPROV (2)'!A:B,2,FALSE)</f>
        <v>36</v>
      </c>
      <c r="M792" t="str">
        <f>VLOOKUP(Tabla3[[#This Row],[SERVICIO]],'SAPROV (2)'!I:J,2,FALSE)</f>
        <v>SERV0011</v>
      </c>
      <c r="N792" t="s">
        <v>927</v>
      </c>
      <c r="P792">
        <f>VLOOKUP(Tabla3[[#This Row],[FECHA]],TASA[],2,FALSE)</f>
        <v>367.31</v>
      </c>
      <c r="Q792" s="35">
        <f t="shared" si="100"/>
        <v>-0.8392093871661539</v>
      </c>
      <c r="R792" t="s">
        <v>1268</v>
      </c>
    </row>
    <row r="793" spans="1:18" x14ac:dyDescent="0.25">
      <c r="A793" s="33">
        <v>46052</v>
      </c>
      <c r="B793" s="1">
        <v>720721230</v>
      </c>
      <c r="C793" s="2" t="s">
        <v>1470</v>
      </c>
      <c r="D793" s="34">
        <v>-308.25</v>
      </c>
      <c r="E793" t="s">
        <v>20</v>
      </c>
      <c r="F793" s="2" t="e">
        <f>VLOOKUP(Tabla3[[#This Row],[CONTABLE]],'SAPROV (2)'!L:M,2,FALSE)</f>
        <v>#N/A</v>
      </c>
      <c r="H793" t="s">
        <v>1281</v>
      </c>
      <c r="I793" s="2" t="str">
        <f>VLOOKUP(Tabla3[[#This Row],[Deposito]],'SAPROV (2)'!D:E,2,FALSE)</f>
        <v>07</v>
      </c>
      <c r="K793" s="2" t="s">
        <v>101</v>
      </c>
      <c r="L793" s="2" t="str">
        <f>VLOOKUP(Tabla3[[#This Row],[PROVEEDOR]],'SAPROV (2)'!A:B,2,FALSE)</f>
        <v>36</v>
      </c>
      <c r="M793" t="str">
        <f>VLOOKUP(Tabla3[[#This Row],[SERVICIO]],'SAPROV (2)'!I:J,2,FALSE)</f>
        <v>SERV0011</v>
      </c>
      <c r="N793" t="s">
        <v>927</v>
      </c>
      <c r="P793">
        <f>VLOOKUP(Tabla3[[#This Row],[FECHA]],TASA[],2,FALSE)</f>
        <v>367.31</v>
      </c>
      <c r="Q793" s="35">
        <f t="shared" si="100"/>
        <v>-0.8392093871661539</v>
      </c>
      <c r="R793" t="s">
        <v>1268</v>
      </c>
    </row>
    <row r="794" spans="1:18" x14ac:dyDescent="0.25">
      <c r="A794" s="33">
        <v>46052</v>
      </c>
      <c r="B794" s="1">
        <v>720721229</v>
      </c>
      <c r="C794" s="2" t="s">
        <v>1470</v>
      </c>
      <c r="D794" s="34">
        <v>-308.25</v>
      </c>
      <c r="E794" t="s">
        <v>20</v>
      </c>
      <c r="F794" s="2" t="e">
        <f>VLOOKUP(Tabla3[[#This Row],[CONTABLE]],'SAPROV (2)'!L:M,2,FALSE)</f>
        <v>#N/A</v>
      </c>
      <c r="H794" t="s">
        <v>1281</v>
      </c>
      <c r="I794" s="2" t="str">
        <f>VLOOKUP(Tabla3[[#This Row],[Deposito]],'SAPROV (2)'!D:E,2,FALSE)</f>
        <v>07</v>
      </c>
      <c r="K794" s="2" t="s">
        <v>101</v>
      </c>
      <c r="L794" s="23" t="str">
        <f>VLOOKUP(Tabla3[[#This Row],[PROVEEDOR]],'SAPROV (2)'!A:B,2,FALSE)</f>
        <v>36</v>
      </c>
      <c r="M794" t="str">
        <f>VLOOKUP(Tabla3[[#This Row],[SERVICIO]],'SAPROV (2)'!I:J,2,FALSE)</f>
        <v>SERV0011</v>
      </c>
      <c r="N794" t="s">
        <v>927</v>
      </c>
      <c r="P794">
        <f>VLOOKUP(Tabla3[[#This Row],[FECHA]],TASA[],2,FALSE)</f>
        <v>367.31</v>
      </c>
      <c r="Q794" s="35">
        <f t="shared" si="100"/>
        <v>-0.8392093871661539</v>
      </c>
      <c r="R794" t="s">
        <v>1268</v>
      </c>
    </row>
    <row r="795" spans="1:18" x14ac:dyDescent="0.25">
      <c r="A795" s="33">
        <v>46052</v>
      </c>
      <c r="B795" s="1">
        <v>720721231</v>
      </c>
      <c r="C795" s="2" t="s">
        <v>1470</v>
      </c>
      <c r="D795" s="34">
        <v>-308.25</v>
      </c>
      <c r="E795" t="s">
        <v>20</v>
      </c>
      <c r="F795" s="2" t="e">
        <f>VLOOKUP(Tabla3[[#This Row],[CONTABLE]],'SAPROV (2)'!L:M,2,FALSE)</f>
        <v>#N/A</v>
      </c>
      <c r="H795" t="s">
        <v>1281</v>
      </c>
      <c r="I795" s="2" t="str">
        <f>VLOOKUP(Tabla3[[#This Row],[Deposito]],'SAPROV (2)'!D:E,2,FALSE)</f>
        <v>07</v>
      </c>
      <c r="K795" s="2" t="s">
        <v>101</v>
      </c>
      <c r="L795" s="23" t="str">
        <f>VLOOKUP(Tabla3[[#This Row],[PROVEEDOR]],'SAPROV (2)'!A:B,2,FALSE)</f>
        <v>36</v>
      </c>
      <c r="M795" t="str">
        <f>VLOOKUP(Tabla3[[#This Row],[SERVICIO]],'SAPROV (2)'!I:J,2,FALSE)</f>
        <v>SERV0011</v>
      </c>
      <c r="N795" t="s">
        <v>927</v>
      </c>
      <c r="P795">
        <f>VLOOKUP(Tabla3[[#This Row],[FECHA]],TASA[],2,FALSE)</f>
        <v>367.31</v>
      </c>
      <c r="Q795" s="35">
        <f t="shared" si="100"/>
        <v>-0.8392093871661539</v>
      </c>
      <c r="R795" t="s">
        <v>1268</v>
      </c>
    </row>
    <row r="796" spans="1:18" x14ac:dyDescent="0.25">
      <c r="A796" s="33">
        <v>46052</v>
      </c>
      <c r="B796" s="1">
        <v>720721233</v>
      </c>
      <c r="C796" s="2" t="s">
        <v>1470</v>
      </c>
      <c r="D796" s="34">
        <v>-308.25</v>
      </c>
      <c r="E796" t="s">
        <v>20</v>
      </c>
      <c r="F796" s="2" t="e">
        <f>VLOOKUP(Tabla3[[#This Row],[CONTABLE]],'SAPROV (2)'!L:M,2,FALSE)</f>
        <v>#N/A</v>
      </c>
      <c r="H796" t="s">
        <v>1281</v>
      </c>
      <c r="I796" s="2" t="str">
        <f>VLOOKUP(Tabla3[[#This Row],[Deposito]],'SAPROV (2)'!D:E,2,FALSE)</f>
        <v>07</v>
      </c>
      <c r="K796" s="2" t="s">
        <v>101</v>
      </c>
      <c r="L796" s="2" t="str">
        <f>VLOOKUP(Tabla3[[#This Row],[PROVEEDOR]],'SAPROV (2)'!A:B,2,FALSE)</f>
        <v>36</v>
      </c>
      <c r="M796" t="str">
        <f>VLOOKUP(Tabla3[[#This Row],[SERVICIO]],'SAPROV (2)'!I:J,2,FALSE)</f>
        <v>SERV0011</v>
      </c>
      <c r="N796" t="s">
        <v>927</v>
      </c>
      <c r="P796">
        <f>VLOOKUP(Tabla3[[#This Row],[FECHA]],TASA[],2,FALSE)</f>
        <v>367.31</v>
      </c>
      <c r="Q796" s="35">
        <f t="shared" ref="Q796:Q827" si="101">D796/P796</f>
        <v>-0.8392093871661539</v>
      </c>
      <c r="R796" t="s">
        <v>1268</v>
      </c>
    </row>
    <row r="797" spans="1:18" x14ac:dyDescent="0.25">
      <c r="A797" s="33">
        <v>46052</v>
      </c>
      <c r="B797" s="1">
        <v>720721232</v>
      </c>
      <c r="C797" s="2" t="s">
        <v>1470</v>
      </c>
      <c r="D797" s="34">
        <v>-308.25</v>
      </c>
      <c r="E797" t="s">
        <v>20</v>
      </c>
      <c r="F797" s="2" t="e">
        <f>VLOOKUP(Tabla3[[#This Row],[CONTABLE]],'SAPROV (2)'!L:M,2,FALSE)</f>
        <v>#N/A</v>
      </c>
      <c r="H797" t="s">
        <v>1281</v>
      </c>
      <c r="I797" s="2" t="str">
        <f>VLOOKUP(Tabla3[[#This Row],[Deposito]],'SAPROV (2)'!D:E,2,FALSE)</f>
        <v>07</v>
      </c>
      <c r="K797" s="2" t="s">
        <v>101</v>
      </c>
      <c r="L797" s="23" t="str">
        <f>VLOOKUP(Tabla3[[#This Row],[PROVEEDOR]],'SAPROV (2)'!A:B,2,FALSE)</f>
        <v>36</v>
      </c>
      <c r="M797" t="str">
        <f>VLOOKUP(Tabla3[[#This Row],[SERVICIO]],'SAPROV (2)'!I:J,2,FALSE)</f>
        <v>SERV0011</v>
      </c>
      <c r="N797" t="s">
        <v>927</v>
      </c>
      <c r="P797">
        <f>VLOOKUP(Tabla3[[#This Row],[FECHA]],TASA[],2,FALSE)</f>
        <v>367.31</v>
      </c>
      <c r="Q797" s="35">
        <f t="shared" si="101"/>
        <v>-0.8392093871661539</v>
      </c>
      <c r="R797" t="s">
        <v>1268</v>
      </c>
    </row>
    <row r="798" spans="1:18" x14ac:dyDescent="0.25">
      <c r="A798" s="33">
        <v>46052</v>
      </c>
      <c r="B798" s="1">
        <v>720721234</v>
      </c>
      <c r="C798" s="2" t="s">
        <v>1470</v>
      </c>
      <c r="D798" s="34">
        <v>-308.25</v>
      </c>
      <c r="E798" t="s">
        <v>20</v>
      </c>
      <c r="F798" s="2" t="e">
        <f>VLOOKUP(Tabla3[[#This Row],[CONTABLE]],'SAPROV (2)'!L:M,2,FALSE)</f>
        <v>#N/A</v>
      </c>
      <c r="H798" t="s">
        <v>1281</v>
      </c>
      <c r="I798" s="2" t="str">
        <f>VLOOKUP(Tabla3[[#This Row],[Deposito]],'SAPROV (2)'!D:E,2,FALSE)</f>
        <v>07</v>
      </c>
      <c r="K798" s="2" t="s">
        <v>101</v>
      </c>
      <c r="L798" s="23" t="str">
        <f>VLOOKUP(Tabla3[[#This Row],[PROVEEDOR]],'SAPROV (2)'!A:B,2,FALSE)</f>
        <v>36</v>
      </c>
      <c r="M798" t="str">
        <f>VLOOKUP(Tabla3[[#This Row],[SERVICIO]],'SAPROV (2)'!I:J,2,FALSE)</f>
        <v>SERV0011</v>
      </c>
      <c r="N798" t="s">
        <v>927</v>
      </c>
      <c r="P798">
        <f>VLOOKUP(Tabla3[[#This Row],[FECHA]],TASA[],2,FALSE)</f>
        <v>367.31</v>
      </c>
      <c r="Q798" s="35">
        <f t="shared" si="101"/>
        <v>-0.8392093871661539</v>
      </c>
      <c r="R798" t="s">
        <v>1268</v>
      </c>
    </row>
    <row r="799" spans="1:18" x14ac:dyDescent="0.25">
      <c r="A799" s="33">
        <v>46052</v>
      </c>
      <c r="B799" s="1">
        <v>720721235</v>
      </c>
      <c r="C799" s="2" t="s">
        <v>1470</v>
      </c>
      <c r="D799" s="34">
        <v>-308.25</v>
      </c>
      <c r="E799" t="s">
        <v>20</v>
      </c>
      <c r="F799" s="2" t="e">
        <f>VLOOKUP(Tabla3[[#This Row],[CONTABLE]],'SAPROV (2)'!L:M,2,FALSE)</f>
        <v>#N/A</v>
      </c>
      <c r="H799" t="s">
        <v>1281</v>
      </c>
      <c r="I799" s="2" t="str">
        <f>VLOOKUP(Tabla3[[#This Row],[Deposito]],'SAPROV (2)'!D:E,2,FALSE)</f>
        <v>07</v>
      </c>
      <c r="K799" s="2" t="s">
        <v>101</v>
      </c>
      <c r="L799" s="2" t="str">
        <f>VLOOKUP(Tabla3[[#This Row],[PROVEEDOR]],'SAPROV (2)'!A:B,2,FALSE)</f>
        <v>36</v>
      </c>
      <c r="M799" t="str">
        <f>VLOOKUP(Tabla3[[#This Row],[SERVICIO]],'SAPROV (2)'!I:J,2,FALSE)</f>
        <v>SERV0011</v>
      </c>
      <c r="N799" t="s">
        <v>927</v>
      </c>
      <c r="P799">
        <f>VLOOKUP(Tabla3[[#This Row],[FECHA]],TASA[],2,FALSE)</f>
        <v>367.31</v>
      </c>
      <c r="Q799" s="35">
        <f t="shared" si="101"/>
        <v>-0.8392093871661539</v>
      </c>
      <c r="R799" t="s">
        <v>1268</v>
      </c>
    </row>
    <row r="800" spans="1:18" x14ac:dyDescent="0.25">
      <c r="A800" s="33">
        <v>46052</v>
      </c>
      <c r="B800" s="1">
        <v>720721236</v>
      </c>
      <c r="C800" s="2" t="s">
        <v>1470</v>
      </c>
      <c r="D800" s="34">
        <v>-308.25</v>
      </c>
      <c r="E800" t="s">
        <v>20</v>
      </c>
      <c r="F800" s="2" t="e">
        <f>VLOOKUP(Tabla3[[#This Row],[CONTABLE]],'SAPROV (2)'!L:M,2,FALSE)</f>
        <v>#N/A</v>
      </c>
      <c r="H800" t="s">
        <v>1281</v>
      </c>
      <c r="I800" s="2" t="str">
        <f>VLOOKUP(Tabla3[[#This Row],[Deposito]],'SAPROV (2)'!D:E,2,FALSE)</f>
        <v>07</v>
      </c>
      <c r="K800" s="2" t="s">
        <v>101</v>
      </c>
      <c r="L800" s="23" t="str">
        <f>VLOOKUP(Tabla3[[#This Row],[PROVEEDOR]],'SAPROV (2)'!A:B,2,FALSE)</f>
        <v>36</v>
      </c>
      <c r="M800" t="str">
        <f>VLOOKUP(Tabla3[[#This Row],[SERVICIO]],'SAPROV (2)'!I:J,2,FALSE)</f>
        <v>SERV0011</v>
      </c>
      <c r="N800" t="s">
        <v>927</v>
      </c>
      <c r="P800">
        <f>VLOOKUP(Tabla3[[#This Row],[FECHA]],TASA[],2,FALSE)</f>
        <v>367.31</v>
      </c>
      <c r="Q800" s="35">
        <f t="shared" si="101"/>
        <v>-0.8392093871661539</v>
      </c>
      <c r="R800" t="s">
        <v>1268</v>
      </c>
    </row>
    <row r="801" spans="1:18" x14ac:dyDescent="0.25">
      <c r="A801" s="33">
        <v>46052</v>
      </c>
      <c r="B801" s="1">
        <v>820721237</v>
      </c>
      <c r="C801" s="2" t="s">
        <v>1470</v>
      </c>
      <c r="D801" s="34">
        <v>-286.8</v>
      </c>
      <c r="E801" t="s">
        <v>20</v>
      </c>
      <c r="F801" s="2" t="e">
        <f>VLOOKUP(Tabla3[[#This Row],[CONTABLE]],'SAPROV (2)'!L:M,2,FALSE)</f>
        <v>#N/A</v>
      </c>
      <c r="H801" t="s">
        <v>1281</v>
      </c>
      <c r="I801" s="2" t="str">
        <f>VLOOKUP(Tabla3[[#This Row],[Deposito]],'SAPROV (2)'!D:E,2,FALSE)</f>
        <v>07</v>
      </c>
      <c r="K801" s="2" t="s">
        <v>101</v>
      </c>
      <c r="L801" s="23" t="str">
        <f>VLOOKUP(Tabla3[[#This Row],[PROVEEDOR]],'SAPROV (2)'!A:B,2,FALSE)</f>
        <v>36</v>
      </c>
      <c r="M801" t="str">
        <f>VLOOKUP(Tabla3[[#This Row],[SERVICIO]],'SAPROV (2)'!I:J,2,FALSE)</f>
        <v>SERV0011</v>
      </c>
      <c r="N801" t="s">
        <v>927</v>
      </c>
      <c r="P801">
        <f>VLOOKUP(Tabla3[[#This Row],[FECHA]],TASA[],2,FALSE)</f>
        <v>367.31</v>
      </c>
      <c r="Q801" s="35">
        <f t="shared" si="101"/>
        <v>-0.78081184830252381</v>
      </c>
      <c r="R801" t="s">
        <v>1268</v>
      </c>
    </row>
    <row r="802" spans="1:18" x14ac:dyDescent="0.25">
      <c r="A802" s="33">
        <v>46052</v>
      </c>
      <c r="B802" s="1">
        <v>820721240</v>
      </c>
      <c r="C802" s="2" t="s">
        <v>1470</v>
      </c>
      <c r="D802" s="34">
        <v>-308.25</v>
      </c>
      <c r="E802" t="s">
        <v>20</v>
      </c>
      <c r="F802" s="2" t="e">
        <f>VLOOKUP(Tabla3[[#This Row],[CONTABLE]],'SAPROV (2)'!L:M,2,FALSE)</f>
        <v>#N/A</v>
      </c>
      <c r="H802" t="s">
        <v>1281</v>
      </c>
      <c r="I802" s="2" t="str">
        <f>VLOOKUP(Tabla3[[#This Row],[Deposito]],'SAPROV (2)'!D:E,2,FALSE)</f>
        <v>07</v>
      </c>
      <c r="K802" s="2" t="s">
        <v>101</v>
      </c>
      <c r="L802" s="2" t="str">
        <f>VLOOKUP(Tabla3[[#This Row],[PROVEEDOR]],'SAPROV (2)'!A:B,2,FALSE)</f>
        <v>36</v>
      </c>
      <c r="M802" t="str">
        <f>VLOOKUP(Tabla3[[#This Row],[SERVICIO]],'SAPROV (2)'!I:J,2,FALSE)</f>
        <v>SERV0011</v>
      </c>
      <c r="N802" t="s">
        <v>927</v>
      </c>
      <c r="P802">
        <f>VLOOKUP(Tabla3[[#This Row],[FECHA]],TASA[],2,FALSE)</f>
        <v>367.31</v>
      </c>
      <c r="Q802" s="35">
        <f t="shared" si="101"/>
        <v>-0.8392093871661539</v>
      </c>
      <c r="R802" t="s">
        <v>1268</v>
      </c>
    </row>
    <row r="803" spans="1:18" x14ac:dyDescent="0.25">
      <c r="A803" s="33">
        <v>46052</v>
      </c>
      <c r="B803" s="1">
        <v>820721239</v>
      </c>
      <c r="C803" s="2" t="s">
        <v>1470</v>
      </c>
      <c r="D803" s="34">
        <v>-308.25</v>
      </c>
      <c r="E803" t="s">
        <v>20</v>
      </c>
      <c r="F803" s="2" t="e">
        <f>VLOOKUP(Tabla3[[#This Row],[CONTABLE]],'SAPROV (2)'!L:M,2,FALSE)</f>
        <v>#N/A</v>
      </c>
      <c r="H803" t="s">
        <v>1281</v>
      </c>
      <c r="I803" s="2" t="str">
        <f>VLOOKUP(Tabla3[[#This Row],[Deposito]],'SAPROV (2)'!D:E,2,FALSE)</f>
        <v>07</v>
      </c>
      <c r="K803" s="2" t="s">
        <v>101</v>
      </c>
      <c r="L803" s="23" t="str">
        <f>VLOOKUP(Tabla3[[#This Row],[PROVEEDOR]],'SAPROV (2)'!A:B,2,FALSE)</f>
        <v>36</v>
      </c>
      <c r="M803" t="str">
        <f>VLOOKUP(Tabla3[[#This Row],[SERVICIO]],'SAPROV (2)'!I:J,2,FALSE)</f>
        <v>SERV0011</v>
      </c>
      <c r="N803" t="s">
        <v>927</v>
      </c>
      <c r="P803">
        <f>VLOOKUP(Tabla3[[#This Row],[FECHA]],TASA[],2,FALSE)</f>
        <v>367.31</v>
      </c>
      <c r="Q803" s="35">
        <f t="shared" si="101"/>
        <v>-0.8392093871661539</v>
      </c>
      <c r="R803" t="s">
        <v>1268</v>
      </c>
    </row>
    <row r="804" spans="1:18" x14ac:dyDescent="0.25">
      <c r="A804" s="33">
        <v>46052</v>
      </c>
      <c r="B804" s="1">
        <v>820721238</v>
      </c>
      <c r="C804" s="2" t="s">
        <v>1470</v>
      </c>
      <c r="D804" s="34">
        <v>-308.25</v>
      </c>
      <c r="E804" t="s">
        <v>20</v>
      </c>
      <c r="F804" s="2" t="e">
        <f>VLOOKUP(Tabla3[[#This Row],[CONTABLE]],'SAPROV (2)'!L:M,2,FALSE)</f>
        <v>#N/A</v>
      </c>
      <c r="H804" t="s">
        <v>1281</v>
      </c>
      <c r="I804" s="2" t="str">
        <f>VLOOKUP(Tabla3[[#This Row],[Deposito]],'SAPROV (2)'!D:E,2,FALSE)</f>
        <v>07</v>
      </c>
      <c r="K804" s="2" t="s">
        <v>101</v>
      </c>
      <c r="L804" s="23" t="str">
        <f>VLOOKUP(Tabla3[[#This Row],[PROVEEDOR]],'SAPROV (2)'!A:B,2,FALSE)</f>
        <v>36</v>
      </c>
      <c r="M804" t="str">
        <f>VLOOKUP(Tabla3[[#This Row],[SERVICIO]],'SAPROV (2)'!I:J,2,FALSE)</f>
        <v>SERV0011</v>
      </c>
      <c r="N804" t="s">
        <v>927</v>
      </c>
      <c r="P804">
        <f>VLOOKUP(Tabla3[[#This Row],[FECHA]],TASA[],2,FALSE)</f>
        <v>367.31</v>
      </c>
      <c r="Q804" s="35">
        <f t="shared" si="101"/>
        <v>-0.8392093871661539</v>
      </c>
      <c r="R804" t="s">
        <v>1268</v>
      </c>
    </row>
    <row r="805" spans="1:18" x14ac:dyDescent="0.25">
      <c r="A805" s="33">
        <v>46052</v>
      </c>
      <c r="B805" s="1">
        <v>820721242</v>
      </c>
      <c r="C805" s="2" t="s">
        <v>1470</v>
      </c>
      <c r="D805" s="34">
        <v>-308.25</v>
      </c>
      <c r="E805" t="s">
        <v>20</v>
      </c>
      <c r="F805" s="2" t="e">
        <f>VLOOKUP(Tabla3[[#This Row],[CONTABLE]],'SAPROV (2)'!L:M,2,FALSE)</f>
        <v>#N/A</v>
      </c>
      <c r="H805" t="s">
        <v>1281</v>
      </c>
      <c r="I805" s="2" t="str">
        <f>VLOOKUP(Tabla3[[#This Row],[Deposito]],'SAPROV (2)'!D:E,2,FALSE)</f>
        <v>07</v>
      </c>
      <c r="K805" s="2" t="s">
        <v>101</v>
      </c>
      <c r="L805" s="2" t="str">
        <f>VLOOKUP(Tabla3[[#This Row],[PROVEEDOR]],'SAPROV (2)'!A:B,2,FALSE)</f>
        <v>36</v>
      </c>
      <c r="M805" t="str">
        <f>VLOOKUP(Tabla3[[#This Row],[SERVICIO]],'SAPROV (2)'!I:J,2,FALSE)</f>
        <v>SERV0011</v>
      </c>
      <c r="N805" t="s">
        <v>927</v>
      </c>
      <c r="P805">
        <f>VLOOKUP(Tabla3[[#This Row],[FECHA]],TASA[],2,FALSE)</f>
        <v>367.31</v>
      </c>
      <c r="Q805" s="35">
        <f t="shared" si="101"/>
        <v>-0.8392093871661539</v>
      </c>
      <c r="R805" t="s">
        <v>1268</v>
      </c>
    </row>
    <row r="806" spans="1:18" x14ac:dyDescent="0.25">
      <c r="A806" s="33">
        <v>46052</v>
      </c>
      <c r="B806" s="1">
        <v>820721241</v>
      </c>
      <c r="C806" s="2" t="s">
        <v>1470</v>
      </c>
      <c r="D806" s="34">
        <v>-308.25</v>
      </c>
      <c r="E806" t="s">
        <v>20</v>
      </c>
      <c r="F806" s="2" t="e">
        <f>VLOOKUP(Tabla3[[#This Row],[CONTABLE]],'SAPROV (2)'!L:M,2,FALSE)</f>
        <v>#N/A</v>
      </c>
      <c r="H806" t="s">
        <v>1281</v>
      </c>
      <c r="I806" s="2" t="str">
        <f>VLOOKUP(Tabla3[[#This Row],[Deposito]],'SAPROV (2)'!D:E,2,FALSE)</f>
        <v>07</v>
      </c>
      <c r="K806" s="2" t="s">
        <v>101</v>
      </c>
      <c r="L806" s="23" t="str">
        <f>VLOOKUP(Tabla3[[#This Row],[PROVEEDOR]],'SAPROV (2)'!A:B,2,FALSE)</f>
        <v>36</v>
      </c>
      <c r="M806" t="str">
        <f>VLOOKUP(Tabla3[[#This Row],[SERVICIO]],'SAPROV (2)'!I:J,2,FALSE)</f>
        <v>SERV0011</v>
      </c>
      <c r="N806" t="s">
        <v>927</v>
      </c>
      <c r="P806">
        <f>VLOOKUP(Tabla3[[#This Row],[FECHA]],TASA[],2,FALSE)</f>
        <v>367.31</v>
      </c>
      <c r="Q806" s="35">
        <f t="shared" si="101"/>
        <v>-0.8392093871661539</v>
      </c>
      <c r="R806" t="s">
        <v>1268</v>
      </c>
    </row>
    <row r="807" spans="1:18" x14ac:dyDescent="0.25">
      <c r="A807" s="33">
        <v>46052</v>
      </c>
      <c r="B807" s="1">
        <v>820721243</v>
      </c>
      <c r="C807" s="2" t="s">
        <v>1470</v>
      </c>
      <c r="D807" s="34">
        <v>-308.25</v>
      </c>
      <c r="E807" t="s">
        <v>20</v>
      </c>
      <c r="F807" s="2" t="e">
        <f>VLOOKUP(Tabla3[[#This Row],[CONTABLE]],'SAPROV (2)'!L:M,2,FALSE)</f>
        <v>#N/A</v>
      </c>
      <c r="H807" t="s">
        <v>1281</v>
      </c>
      <c r="I807" s="2" t="str">
        <f>VLOOKUP(Tabla3[[#This Row],[Deposito]],'SAPROV (2)'!D:E,2,FALSE)</f>
        <v>07</v>
      </c>
      <c r="K807" s="2" t="s">
        <v>101</v>
      </c>
      <c r="L807" s="23" t="str">
        <f>VLOOKUP(Tabla3[[#This Row],[PROVEEDOR]],'SAPROV (2)'!A:B,2,FALSE)</f>
        <v>36</v>
      </c>
      <c r="M807" t="str">
        <f>VLOOKUP(Tabla3[[#This Row],[SERVICIO]],'SAPROV (2)'!I:J,2,FALSE)</f>
        <v>SERV0011</v>
      </c>
      <c r="N807" t="s">
        <v>927</v>
      </c>
      <c r="P807">
        <f>VLOOKUP(Tabla3[[#This Row],[FECHA]],TASA[],2,FALSE)</f>
        <v>367.31</v>
      </c>
      <c r="Q807" s="35">
        <f t="shared" si="101"/>
        <v>-0.8392093871661539</v>
      </c>
      <c r="R807" t="s">
        <v>1268</v>
      </c>
    </row>
    <row r="808" spans="1:18" x14ac:dyDescent="0.25">
      <c r="A808" s="33">
        <v>46052</v>
      </c>
      <c r="B808" s="1">
        <v>820721244</v>
      </c>
      <c r="C808" s="2" t="s">
        <v>1470</v>
      </c>
      <c r="D808" s="34">
        <v>-308.25</v>
      </c>
      <c r="E808" t="s">
        <v>20</v>
      </c>
      <c r="F808" s="2" t="e">
        <f>VLOOKUP(Tabla3[[#This Row],[CONTABLE]],'SAPROV (2)'!L:M,2,FALSE)</f>
        <v>#N/A</v>
      </c>
      <c r="H808" t="s">
        <v>1281</v>
      </c>
      <c r="I808" s="2" t="str">
        <f>VLOOKUP(Tabla3[[#This Row],[Deposito]],'SAPROV (2)'!D:E,2,FALSE)</f>
        <v>07</v>
      </c>
      <c r="K808" s="2" t="s">
        <v>101</v>
      </c>
      <c r="L808" s="2" t="str">
        <f>VLOOKUP(Tabla3[[#This Row],[PROVEEDOR]],'SAPROV (2)'!A:B,2,FALSE)</f>
        <v>36</v>
      </c>
      <c r="M808" t="str">
        <f>VLOOKUP(Tabla3[[#This Row],[SERVICIO]],'SAPROV (2)'!I:J,2,FALSE)</f>
        <v>SERV0011</v>
      </c>
      <c r="N808" t="s">
        <v>927</v>
      </c>
      <c r="P808">
        <f>VLOOKUP(Tabla3[[#This Row],[FECHA]],TASA[],2,FALSE)</f>
        <v>367.31</v>
      </c>
      <c r="Q808" s="35">
        <f t="shared" si="101"/>
        <v>-0.8392093871661539</v>
      </c>
      <c r="R808" t="s">
        <v>1268</v>
      </c>
    </row>
    <row r="809" spans="1:18" x14ac:dyDescent="0.25">
      <c r="A809" s="33">
        <v>46052</v>
      </c>
      <c r="B809" s="1">
        <v>820721245</v>
      </c>
      <c r="C809" s="2" t="s">
        <v>1470</v>
      </c>
      <c r="D809" s="34">
        <v>-308.25</v>
      </c>
      <c r="E809" t="s">
        <v>20</v>
      </c>
      <c r="F809" s="2" t="e">
        <f>VLOOKUP(Tabla3[[#This Row],[CONTABLE]],'SAPROV (2)'!L:M,2,FALSE)</f>
        <v>#N/A</v>
      </c>
      <c r="H809" t="s">
        <v>1281</v>
      </c>
      <c r="I809" s="2" t="str">
        <f>VLOOKUP(Tabla3[[#This Row],[Deposito]],'SAPROV (2)'!D:E,2,FALSE)</f>
        <v>07</v>
      </c>
      <c r="K809" s="2" t="s">
        <v>101</v>
      </c>
      <c r="L809" s="23" t="str">
        <f>VLOOKUP(Tabla3[[#This Row],[PROVEEDOR]],'SAPROV (2)'!A:B,2,FALSE)</f>
        <v>36</v>
      </c>
      <c r="M809" t="str">
        <f>VLOOKUP(Tabla3[[#This Row],[SERVICIO]],'SAPROV (2)'!I:J,2,FALSE)</f>
        <v>SERV0011</v>
      </c>
      <c r="N809" t="s">
        <v>927</v>
      </c>
      <c r="P809">
        <f>VLOOKUP(Tabla3[[#This Row],[FECHA]],TASA[],2,FALSE)</f>
        <v>367.31</v>
      </c>
      <c r="Q809" s="35">
        <f t="shared" si="101"/>
        <v>-0.8392093871661539</v>
      </c>
      <c r="R809" t="s">
        <v>1268</v>
      </c>
    </row>
    <row r="810" spans="1:18" x14ac:dyDescent="0.25">
      <c r="A810" s="33">
        <v>46052</v>
      </c>
      <c r="B810" s="1">
        <v>920721246</v>
      </c>
      <c r="C810" s="2" t="s">
        <v>1470</v>
      </c>
      <c r="D810" s="34">
        <v>-308.25</v>
      </c>
      <c r="E810" t="s">
        <v>20</v>
      </c>
      <c r="F810" s="2" t="e">
        <f>VLOOKUP(Tabla3[[#This Row],[CONTABLE]],'SAPROV (2)'!L:M,2,FALSE)</f>
        <v>#N/A</v>
      </c>
      <c r="H810" t="s">
        <v>1281</v>
      </c>
      <c r="I810" s="2" t="str">
        <f>VLOOKUP(Tabla3[[#This Row],[Deposito]],'SAPROV (2)'!D:E,2,FALSE)</f>
        <v>07</v>
      </c>
      <c r="K810" s="2" t="s">
        <v>101</v>
      </c>
      <c r="L810" s="23" t="str">
        <f>VLOOKUP(Tabla3[[#This Row],[PROVEEDOR]],'SAPROV (2)'!A:B,2,FALSE)</f>
        <v>36</v>
      </c>
      <c r="M810" t="str">
        <f>VLOOKUP(Tabla3[[#This Row],[SERVICIO]],'SAPROV (2)'!I:J,2,FALSE)</f>
        <v>SERV0011</v>
      </c>
      <c r="N810" t="s">
        <v>927</v>
      </c>
      <c r="P810">
        <f>VLOOKUP(Tabla3[[#This Row],[FECHA]],TASA[],2,FALSE)</f>
        <v>367.31</v>
      </c>
      <c r="Q810" s="35">
        <f t="shared" si="101"/>
        <v>-0.8392093871661539</v>
      </c>
      <c r="R810" t="s">
        <v>1268</v>
      </c>
    </row>
    <row r="811" spans="1:18" x14ac:dyDescent="0.25">
      <c r="A811" s="33">
        <v>46052</v>
      </c>
      <c r="B811" s="1">
        <v>920721248</v>
      </c>
      <c r="C811" s="2" t="s">
        <v>1292</v>
      </c>
      <c r="D811" s="34">
        <v>-308.25</v>
      </c>
      <c r="E811" t="s">
        <v>20</v>
      </c>
      <c r="F811" s="2" t="e">
        <f>VLOOKUP(Tabla3[[#This Row],[CONTABLE]],'SAPROV (2)'!L:M,2,FALSE)</f>
        <v>#N/A</v>
      </c>
      <c r="H811" t="s">
        <v>1274</v>
      </c>
      <c r="I811" s="2" t="str">
        <f>VLOOKUP(Tabla3[[#This Row],[Deposito]],'SAPROV (2)'!D:E,2,FALSE)</f>
        <v>02</v>
      </c>
      <c r="K811" s="2" t="s">
        <v>101</v>
      </c>
      <c r="L811" s="2" t="str">
        <f>VLOOKUP(Tabla3[[#This Row],[PROVEEDOR]],'SAPROV (2)'!A:B,2,FALSE)</f>
        <v>36</v>
      </c>
      <c r="M811" t="str">
        <f>VLOOKUP(Tabla3[[#This Row],[SERVICIO]],'SAPROV (2)'!I:J,2,FALSE)</f>
        <v>SERV0011</v>
      </c>
      <c r="N811" t="s">
        <v>927</v>
      </c>
      <c r="P811">
        <f>VLOOKUP(Tabla3[[#This Row],[FECHA]],TASA[],2,FALSE)</f>
        <v>367.31</v>
      </c>
      <c r="Q811" s="35">
        <f t="shared" si="101"/>
        <v>-0.8392093871661539</v>
      </c>
      <c r="R811" t="s">
        <v>1268</v>
      </c>
    </row>
    <row r="812" spans="1:18" x14ac:dyDescent="0.25">
      <c r="A812" s="33">
        <v>46052</v>
      </c>
      <c r="B812" s="1">
        <v>920721247</v>
      </c>
      <c r="C812" s="2" t="s">
        <v>1292</v>
      </c>
      <c r="D812" s="34">
        <v>-308.25</v>
      </c>
      <c r="E812" t="s">
        <v>20</v>
      </c>
      <c r="F812" s="2" t="e">
        <f>VLOOKUP(Tabla3[[#This Row],[CONTABLE]],'SAPROV (2)'!L:M,2,FALSE)</f>
        <v>#N/A</v>
      </c>
      <c r="H812" t="s">
        <v>1274</v>
      </c>
      <c r="I812" s="2" t="str">
        <f>VLOOKUP(Tabla3[[#This Row],[Deposito]],'SAPROV (2)'!D:E,2,FALSE)</f>
        <v>02</v>
      </c>
      <c r="K812" s="2" t="s">
        <v>101</v>
      </c>
      <c r="L812" s="23" t="str">
        <f>VLOOKUP(Tabla3[[#This Row],[PROVEEDOR]],'SAPROV (2)'!A:B,2,FALSE)</f>
        <v>36</v>
      </c>
      <c r="M812" t="str">
        <f>VLOOKUP(Tabla3[[#This Row],[SERVICIO]],'SAPROV (2)'!I:J,2,FALSE)</f>
        <v>SERV0011</v>
      </c>
      <c r="N812" t="s">
        <v>927</v>
      </c>
      <c r="P812">
        <f>VLOOKUP(Tabla3[[#This Row],[FECHA]],TASA[],2,FALSE)</f>
        <v>367.31</v>
      </c>
      <c r="Q812" s="35">
        <f t="shared" si="101"/>
        <v>-0.8392093871661539</v>
      </c>
      <c r="R812" t="s">
        <v>1268</v>
      </c>
    </row>
    <row r="813" spans="1:18" x14ac:dyDescent="0.25">
      <c r="A813" s="33">
        <v>46052</v>
      </c>
      <c r="B813" s="1">
        <v>920721250</v>
      </c>
      <c r="C813" s="2" t="s">
        <v>1292</v>
      </c>
      <c r="D813" s="34">
        <v>-308.25</v>
      </c>
      <c r="E813" t="s">
        <v>20</v>
      </c>
      <c r="F813" s="2" t="e">
        <f>VLOOKUP(Tabla3[[#This Row],[CONTABLE]],'SAPROV (2)'!L:M,2,FALSE)</f>
        <v>#N/A</v>
      </c>
      <c r="H813" t="s">
        <v>1274</v>
      </c>
      <c r="I813" s="2" t="str">
        <f>VLOOKUP(Tabla3[[#This Row],[Deposito]],'SAPROV (2)'!D:E,2,FALSE)</f>
        <v>02</v>
      </c>
      <c r="K813" s="2" t="s">
        <v>101</v>
      </c>
      <c r="L813" s="23" t="str">
        <f>VLOOKUP(Tabla3[[#This Row],[PROVEEDOR]],'SAPROV (2)'!A:B,2,FALSE)</f>
        <v>36</v>
      </c>
      <c r="M813" t="str">
        <f>VLOOKUP(Tabla3[[#This Row],[SERVICIO]],'SAPROV (2)'!I:J,2,FALSE)</f>
        <v>SERV0011</v>
      </c>
      <c r="N813" t="s">
        <v>927</v>
      </c>
      <c r="P813">
        <f>VLOOKUP(Tabla3[[#This Row],[FECHA]],TASA[],2,FALSE)</f>
        <v>367.31</v>
      </c>
      <c r="Q813" s="35">
        <f t="shared" si="101"/>
        <v>-0.8392093871661539</v>
      </c>
      <c r="R813" t="s">
        <v>1268</v>
      </c>
    </row>
    <row r="814" spans="1:18" x14ac:dyDescent="0.25">
      <c r="A814" s="33">
        <v>46052</v>
      </c>
      <c r="B814" s="1">
        <v>920721251</v>
      </c>
      <c r="C814" s="2" t="s">
        <v>1292</v>
      </c>
      <c r="D814" s="34">
        <v>-308.25</v>
      </c>
      <c r="E814" t="s">
        <v>20</v>
      </c>
      <c r="F814" s="2" t="e">
        <f>VLOOKUP(Tabla3[[#This Row],[CONTABLE]],'SAPROV (2)'!L:M,2,FALSE)</f>
        <v>#N/A</v>
      </c>
      <c r="H814" t="s">
        <v>1274</v>
      </c>
      <c r="I814" s="2" t="str">
        <f>VLOOKUP(Tabla3[[#This Row],[Deposito]],'SAPROV (2)'!D:E,2,FALSE)</f>
        <v>02</v>
      </c>
      <c r="K814" s="2" t="s">
        <v>101</v>
      </c>
      <c r="L814" s="2" t="str">
        <f>VLOOKUP(Tabla3[[#This Row],[PROVEEDOR]],'SAPROV (2)'!A:B,2,FALSE)</f>
        <v>36</v>
      </c>
      <c r="M814" t="str">
        <f>VLOOKUP(Tabla3[[#This Row],[SERVICIO]],'SAPROV (2)'!I:J,2,FALSE)</f>
        <v>SERV0011</v>
      </c>
      <c r="N814" t="s">
        <v>927</v>
      </c>
      <c r="P814">
        <f>VLOOKUP(Tabla3[[#This Row],[FECHA]],TASA[],2,FALSE)</f>
        <v>367.31</v>
      </c>
      <c r="Q814" s="35">
        <f t="shared" si="101"/>
        <v>-0.8392093871661539</v>
      </c>
      <c r="R814" t="s">
        <v>1268</v>
      </c>
    </row>
    <row r="815" spans="1:18" x14ac:dyDescent="0.25">
      <c r="A815" s="33">
        <v>46052</v>
      </c>
      <c r="B815" s="1">
        <v>920721255</v>
      </c>
      <c r="C815" s="2" t="s">
        <v>1292</v>
      </c>
      <c r="D815" s="34">
        <v>-308.25</v>
      </c>
      <c r="E815" t="s">
        <v>20</v>
      </c>
      <c r="F815" s="2" t="e">
        <f>VLOOKUP(Tabla3[[#This Row],[CONTABLE]],'SAPROV (2)'!L:M,2,FALSE)</f>
        <v>#N/A</v>
      </c>
      <c r="H815" t="s">
        <v>1274</v>
      </c>
      <c r="I815" s="2" t="str">
        <f>VLOOKUP(Tabla3[[#This Row],[Deposito]],'SAPROV (2)'!D:E,2,FALSE)</f>
        <v>02</v>
      </c>
      <c r="K815" s="2" t="s">
        <v>101</v>
      </c>
      <c r="L815" s="23" t="str">
        <f>VLOOKUP(Tabla3[[#This Row],[PROVEEDOR]],'SAPROV (2)'!A:B,2,FALSE)</f>
        <v>36</v>
      </c>
      <c r="M815" t="str">
        <f>VLOOKUP(Tabla3[[#This Row],[SERVICIO]],'SAPROV (2)'!I:J,2,FALSE)</f>
        <v>SERV0011</v>
      </c>
      <c r="N815" t="s">
        <v>927</v>
      </c>
      <c r="P815">
        <f>VLOOKUP(Tabla3[[#This Row],[FECHA]],TASA[],2,FALSE)</f>
        <v>367.31</v>
      </c>
      <c r="Q815" s="35">
        <f t="shared" si="101"/>
        <v>-0.8392093871661539</v>
      </c>
      <c r="R815" t="s">
        <v>1268</v>
      </c>
    </row>
    <row r="816" spans="1:18" x14ac:dyDescent="0.25">
      <c r="A816" s="33">
        <v>46052</v>
      </c>
      <c r="B816" s="1">
        <v>920721254</v>
      </c>
      <c r="C816" s="2" t="s">
        <v>1292</v>
      </c>
      <c r="D816" s="34">
        <v>-308.25</v>
      </c>
      <c r="E816" t="s">
        <v>20</v>
      </c>
      <c r="F816" s="2" t="e">
        <f>VLOOKUP(Tabla3[[#This Row],[CONTABLE]],'SAPROV (2)'!L:M,2,FALSE)</f>
        <v>#N/A</v>
      </c>
      <c r="H816" t="s">
        <v>1274</v>
      </c>
      <c r="I816" s="2" t="str">
        <f>VLOOKUP(Tabla3[[#This Row],[Deposito]],'SAPROV (2)'!D:E,2,FALSE)</f>
        <v>02</v>
      </c>
      <c r="K816" s="2" t="s">
        <v>101</v>
      </c>
      <c r="L816" s="23" t="str">
        <f>VLOOKUP(Tabla3[[#This Row],[PROVEEDOR]],'SAPROV (2)'!A:B,2,FALSE)</f>
        <v>36</v>
      </c>
      <c r="M816" t="str">
        <f>VLOOKUP(Tabla3[[#This Row],[SERVICIO]],'SAPROV (2)'!I:J,2,FALSE)</f>
        <v>SERV0011</v>
      </c>
      <c r="N816" t="s">
        <v>927</v>
      </c>
      <c r="P816">
        <f>VLOOKUP(Tabla3[[#This Row],[FECHA]],TASA[],2,FALSE)</f>
        <v>367.31</v>
      </c>
      <c r="Q816" s="35">
        <f t="shared" si="101"/>
        <v>-0.8392093871661539</v>
      </c>
      <c r="R816" t="s">
        <v>1268</v>
      </c>
    </row>
    <row r="817" spans="1:18" x14ac:dyDescent="0.25">
      <c r="A817" s="33">
        <v>46052</v>
      </c>
      <c r="B817" s="1">
        <v>920721253</v>
      </c>
      <c r="C817" s="2" t="s">
        <v>1292</v>
      </c>
      <c r="D817" s="34">
        <v>-308.25</v>
      </c>
      <c r="E817" t="s">
        <v>20</v>
      </c>
      <c r="F817" s="2" t="e">
        <f>VLOOKUP(Tabla3[[#This Row],[CONTABLE]],'SAPROV (2)'!L:M,2,FALSE)</f>
        <v>#N/A</v>
      </c>
      <c r="H817" t="s">
        <v>1274</v>
      </c>
      <c r="I817" s="2" t="str">
        <f>VLOOKUP(Tabla3[[#This Row],[Deposito]],'SAPROV (2)'!D:E,2,FALSE)</f>
        <v>02</v>
      </c>
      <c r="K817" s="2" t="s">
        <v>101</v>
      </c>
      <c r="L817" s="2" t="str">
        <f>VLOOKUP(Tabla3[[#This Row],[PROVEEDOR]],'SAPROV (2)'!A:B,2,FALSE)</f>
        <v>36</v>
      </c>
      <c r="M817" t="str">
        <f>VLOOKUP(Tabla3[[#This Row],[SERVICIO]],'SAPROV (2)'!I:J,2,FALSE)</f>
        <v>SERV0011</v>
      </c>
      <c r="N817" t="s">
        <v>927</v>
      </c>
      <c r="P817">
        <f>VLOOKUP(Tabla3[[#This Row],[FECHA]],TASA[],2,FALSE)</f>
        <v>367.31</v>
      </c>
      <c r="Q817" s="35">
        <f t="shared" si="101"/>
        <v>-0.8392093871661539</v>
      </c>
      <c r="R817" t="s">
        <v>1268</v>
      </c>
    </row>
    <row r="818" spans="1:18" x14ac:dyDescent="0.25">
      <c r="A818" s="33">
        <v>46052</v>
      </c>
      <c r="B818" s="1">
        <v>920721249</v>
      </c>
      <c r="C818" s="2" t="s">
        <v>1293</v>
      </c>
      <c r="D818" s="34">
        <v>-308.25</v>
      </c>
      <c r="E818" t="s">
        <v>20</v>
      </c>
      <c r="F818" s="2" t="e">
        <f>VLOOKUP(Tabla3[[#This Row],[CONTABLE]],'SAPROV (2)'!L:M,2,FALSE)</f>
        <v>#N/A</v>
      </c>
      <c r="H818" t="s">
        <v>1280</v>
      </c>
      <c r="I818" s="2" t="str">
        <f>VLOOKUP(Tabla3[[#This Row],[Deposito]],'SAPROV (2)'!D:E,2,FALSE)</f>
        <v>01</v>
      </c>
      <c r="K818" s="2" t="s">
        <v>101</v>
      </c>
      <c r="L818" s="23" t="str">
        <f>VLOOKUP(Tabla3[[#This Row],[PROVEEDOR]],'SAPROV (2)'!A:B,2,FALSE)</f>
        <v>36</v>
      </c>
      <c r="M818" t="str">
        <f>VLOOKUP(Tabla3[[#This Row],[SERVICIO]],'SAPROV (2)'!I:J,2,FALSE)</f>
        <v>SERV0011</v>
      </c>
      <c r="N818" t="s">
        <v>927</v>
      </c>
      <c r="P818">
        <f>VLOOKUP(Tabla3[[#This Row],[FECHA]],TASA[],2,FALSE)</f>
        <v>367.31</v>
      </c>
      <c r="Q818" s="35">
        <f t="shared" si="101"/>
        <v>-0.8392093871661539</v>
      </c>
      <c r="R818" t="s">
        <v>1268</v>
      </c>
    </row>
    <row r="819" spans="1:18" x14ac:dyDescent="0.25">
      <c r="A819" s="33">
        <v>46052</v>
      </c>
      <c r="B819" s="1">
        <v>920721257</v>
      </c>
      <c r="C819" s="2" t="s">
        <v>1293</v>
      </c>
      <c r="D819" s="34">
        <v>-308.25</v>
      </c>
      <c r="E819" t="s">
        <v>20</v>
      </c>
      <c r="F819" s="2" t="e">
        <f>VLOOKUP(Tabla3[[#This Row],[CONTABLE]],'SAPROV (2)'!L:M,2,FALSE)</f>
        <v>#N/A</v>
      </c>
      <c r="H819" t="s">
        <v>1280</v>
      </c>
      <c r="I819" s="2" t="str">
        <f>VLOOKUP(Tabla3[[#This Row],[Deposito]],'SAPROV (2)'!D:E,2,FALSE)</f>
        <v>01</v>
      </c>
      <c r="K819" s="2" t="s">
        <v>101</v>
      </c>
      <c r="L819" s="23" t="str">
        <f>VLOOKUP(Tabla3[[#This Row],[PROVEEDOR]],'SAPROV (2)'!A:B,2,FALSE)</f>
        <v>36</v>
      </c>
      <c r="M819" t="str">
        <f>VLOOKUP(Tabla3[[#This Row],[SERVICIO]],'SAPROV (2)'!I:J,2,FALSE)</f>
        <v>SERV0011</v>
      </c>
      <c r="N819" t="s">
        <v>927</v>
      </c>
      <c r="P819">
        <f>VLOOKUP(Tabla3[[#This Row],[FECHA]],TASA[],2,FALSE)</f>
        <v>367.31</v>
      </c>
      <c r="Q819" s="35">
        <f t="shared" si="101"/>
        <v>-0.8392093871661539</v>
      </c>
      <c r="R819" t="s">
        <v>1268</v>
      </c>
    </row>
    <row r="820" spans="1:18" x14ac:dyDescent="0.25">
      <c r="A820" s="33">
        <v>46052</v>
      </c>
      <c r="B820" s="1">
        <v>20721258</v>
      </c>
      <c r="C820" s="2" t="s">
        <v>1293</v>
      </c>
      <c r="D820" s="34">
        <v>-308.25</v>
      </c>
      <c r="E820" t="s">
        <v>20</v>
      </c>
      <c r="F820" s="2" t="e">
        <f>VLOOKUP(Tabla3[[#This Row],[CONTABLE]],'SAPROV (2)'!L:M,2,FALSE)</f>
        <v>#N/A</v>
      </c>
      <c r="H820" t="s">
        <v>1280</v>
      </c>
      <c r="I820" s="2" t="str">
        <f>VLOOKUP(Tabla3[[#This Row],[Deposito]],'SAPROV (2)'!D:E,2,FALSE)</f>
        <v>01</v>
      </c>
      <c r="K820" s="2" t="s">
        <v>101</v>
      </c>
      <c r="L820" s="2" t="str">
        <f>VLOOKUP(Tabla3[[#This Row],[PROVEEDOR]],'SAPROV (2)'!A:B,2,FALSE)</f>
        <v>36</v>
      </c>
      <c r="M820" t="str">
        <f>VLOOKUP(Tabla3[[#This Row],[SERVICIO]],'SAPROV (2)'!I:J,2,FALSE)</f>
        <v>SERV0011</v>
      </c>
      <c r="N820" t="s">
        <v>927</v>
      </c>
      <c r="P820">
        <f>VLOOKUP(Tabla3[[#This Row],[FECHA]],TASA[],2,FALSE)</f>
        <v>367.31</v>
      </c>
      <c r="Q820" s="35">
        <f t="shared" si="101"/>
        <v>-0.8392093871661539</v>
      </c>
      <c r="R820" t="s">
        <v>1268</v>
      </c>
    </row>
    <row r="821" spans="1:18" x14ac:dyDescent="0.25">
      <c r="A821" s="33">
        <v>46052</v>
      </c>
      <c r="B821" s="1">
        <v>20721259</v>
      </c>
      <c r="C821" s="2" t="s">
        <v>1293</v>
      </c>
      <c r="D821" s="34">
        <v>-308.25</v>
      </c>
      <c r="E821" t="s">
        <v>20</v>
      </c>
      <c r="F821" s="2" t="e">
        <f>VLOOKUP(Tabla3[[#This Row],[CONTABLE]],'SAPROV (2)'!L:M,2,FALSE)</f>
        <v>#N/A</v>
      </c>
      <c r="H821" t="s">
        <v>1280</v>
      </c>
      <c r="I821" s="2" t="str">
        <f>VLOOKUP(Tabla3[[#This Row],[Deposito]],'SAPROV (2)'!D:E,2,FALSE)</f>
        <v>01</v>
      </c>
      <c r="K821" s="2" t="s">
        <v>101</v>
      </c>
      <c r="L821" s="23" t="str">
        <f>VLOOKUP(Tabla3[[#This Row],[PROVEEDOR]],'SAPROV (2)'!A:B,2,FALSE)</f>
        <v>36</v>
      </c>
      <c r="M821" t="str">
        <f>VLOOKUP(Tabla3[[#This Row],[SERVICIO]],'SAPROV (2)'!I:J,2,FALSE)</f>
        <v>SERV0011</v>
      </c>
      <c r="N821" t="s">
        <v>927</v>
      </c>
      <c r="P821">
        <f>VLOOKUP(Tabla3[[#This Row],[FECHA]],TASA[],2,FALSE)</f>
        <v>367.31</v>
      </c>
      <c r="Q821" s="35">
        <f t="shared" si="101"/>
        <v>-0.8392093871661539</v>
      </c>
      <c r="R821" t="s">
        <v>1268</v>
      </c>
    </row>
    <row r="822" spans="1:18" x14ac:dyDescent="0.25">
      <c r="A822" s="33">
        <v>46052</v>
      </c>
      <c r="B822" s="1">
        <v>20721263</v>
      </c>
      <c r="C822" s="2" t="s">
        <v>1293</v>
      </c>
      <c r="D822" s="34">
        <v>-308.25</v>
      </c>
      <c r="E822" t="s">
        <v>20</v>
      </c>
      <c r="F822" s="2" t="e">
        <f>VLOOKUP(Tabla3[[#This Row],[CONTABLE]],'SAPROV (2)'!L:M,2,FALSE)</f>
        <v>#N/A</v>
      </c>
      <c r="H822" t="s">
        <v>1280</v>
      </c>
      <c r="I822" s="2" t="str">
        <f>VLOOKUP(Tabla3[[#This Row],[Deposito]],'SAPROV (2)'!D:E,2,FALSE)</f>
        <v>01</v>
      </c>
      <c r="K822" s="2" t="s">
        <v>101</v>
      </c>
      <c r="L822" s="23" t="str">
        <f>VLOOKUP(Tabla3[[#This Row],[PROVEEDOR]],'SAPROV (2)'!A:B,2,FALSE)</f>
        <v>36</v>
      </c>
      <c r="M822" t="str">
        <f>VLOOKUP(Tabla3[[#This Row],[SERVICIO]],'SAPROV (2)'!I:J,2,FALSE)</f>
        <v>SERV0011</v>
      </c>
      <c r="N822" t="s">
        <v>927</v>
      </c>
      <c r="P822">
        <f>VLOOKUP(Tabla3[[#This Row],[FECHA]],TASA[],2,FALSE)</f>
        <v>367.31</v>
      </c>
      <c r="Q822" s="35">
        <f t="shared" si="101"/>
        <v>-0.8392093871661539</v>
      </c>
      <c r="R822" t="s">
        <v>1268</v>
      </c>
    </row>
    <row r="823" spans="1:18" x14ac:dyDescent="0.25">
      <c r="A823" s="33">
        <v>46052</v>
      </c>
      <c r="B823" s="1">
        <v>20721261</v>
      </c>
      <c r="C823" s="2" t="s">
        <v>1293</v>
      </c>
      <c r="D823" s="34">
        <v>-308.25</v>
      </c>
      <c r="E823" t="s">
        <v>20</v>
      </c>
      <c r="F823" s="2" t="e">
        <f>VLOOKUP(Tabla3[[#This Row],[CONTABLE]],'SAPROV (2)'!L:M,2,FALSE)</f>
        <v>#N/A</v>
      </c>
      <c r="H823" t="s">
        <v>1280</v>
      </c>
      <c r="I823" s="2" t="str">
        <f>VLOOKUP(Tabla3[[#This Row],[Deposito]],'SAPROV (2)'!D:E,2,FALSE)</f>
        <v>01</v>
      </c>
      <c r="K823" s="2" t="s">
        <v>101</v>
      </c>
      <c r="L823" s="2" t="str">
        <f>VLOOKUP(Tabla3[[#This Row],[PROVEEDOR]],'SAPROV (2)'!A:B,2,FALSE)</f>
        <v>36</v>
      </c>
      <c r="M823" t="str">
        <f>VLOOKUP(Tabla3[[#This Row],[SERVICIO]],'SAPROV (2)'!I:J,2,FALSE)</f>
        <v>SERV0011</v>
      </c>
      <c r="N823" t="s">
        <v>927</v>
      </c>
      <c r="P823">
        <f>VLOOKUP(Tabla3[[#This Row],[FECHA]],TASA[],2,FALSE)</f>
        <v>367.31</v>
      </c>
      <c r="Q823" s="35">
        <f t="shared" si="101"/>
        <v>-0.8392093871661539</v>
      </c>
      <c r="R823" t="s">
        <v>1268</v>
      </c>
    </row>
    <row r="824" spans="1:18" x14ac:dyDescent="0.25">
      <c r="A824" s="33">
        <v>46052</v>
      </c>
      <c r="B824" s="1">
        <v>20721262</v>
      </c>
      <c r="C824" s="2" t="s">
        <v>1293</v>
      </c>
      <c r="D824" s="34">
        <v>-308.25</v>
      </c>
      <c r="E824" t="s">
        <v>20</v>
      </c>
      <c r="F824" s="2" t="e">
        <f>VLOOKUP(Tabla3[[#This Row],[CONTABLE]],'SAPROV (2)'!L:M,2,FALSE)</f>
        <v>#N/A</v>
      </c>
      <c r="H824" t="s">
        <v>1280</v>
      </c>
      <c r="I824" s="2" t="str">
        <f>VLOOKUP(Tabla3[[#This Row],[Deposito]],'SAPROV (2)'!D:E,2,FALSE)</f>
        <v>01</v>
      </c>
      <c r="K824" s="2" t="s">
        <v>101</v>
      </c>
      <c r="L824" s="23" t="str">
        <f>VLOOKUP(Tabla3[[#This Row],[PROVEEDOR]],'SAPROV (2)'!A:B,2,FALSE)</f>
        <v>36</v>
      </c>
      <c r="M824" t="str">
        <f>VLOOKUP(Tabla3[[#This Row],[SERVICIO]],'SAPROV (2)'!I:J,2,FALSE)</f>
        <v>SERV0011</v>
      </c>
      <c r="N824" t="s">
        <v>927</v>
      </c>
      <c r="P824">
        <f>VLOOKUP(Tabla3[[#This Row],[FECHA]],TASA[],2,FALSE)</f>
        <v>367.31</v>
      </c>
      <c r="Q824" s="35">
        <f t="shared" si="101"/>
        <v>-0.8392093871661539</v>
      </c>
      <c r="R824" t="s">
        <v>1268</v>
      </c>
    </row>
    <row r="825" spans="1:18" x14ac:dyDescent="0.25">
      <c r="A825" s="33">
        <v>46052</v>
      </c>
      <c r="B825" s="1">
        <v>20721260</v>
      </c>
      <c r="C825" s="2" t="s">
        <v>1293</v>
      </c>
      <c r="D825" s="34">
        <v>-308.25</v>
      </c>
      <c r="E825" t="s">
        <v>20</v>
      </c>
      <c r="F825" s="2" t="e">
        <f>VLOOKUP(Tabla3[[#This Row],[CONTABLE]],'SAPROV (2)'!L:M,2,FALSE)</f>
        <v>#N/A</v>
      </c>
      <c r="H825" t="s">
        <v>1280</v>
      </c>
      <c r="I825" s="2" t="str">
        <f>VLOOKUP(Tabla3[[#This Row],[Deposito]],'SAPROV (2)'!D:E,2,FALSE)</f>
        <v>01</v>
      </c>
      <c r="K825" s="2" t="s">
        <v>101</v>
      </c>
      <c r="L825" s="23" t="str">
        <f>VLOOKUP(Tabla3[[#This Row],[PROVEEDOR]],'SAPROV (2)'!A:B,2,FALSE)</f>
        <v>36</v>
      </c>
      <c r="M825" t="str">
        <f>VLOOKUP(Tabla3[[#This Row],[SERVICIO]],'SAPROV (2)'!I:J,2,FALSE)</f>
        <v>SERV0011</v>
      </c>
      <c r="N825" t="s">
        <v>927</v>
      </c>
      <c r="P825">
        <f>VLOOKUP(Tabla3[[#This Row],[FECHA]],TASA[],2,FALSE)</f>
        <v>367.31</v>
      </c>
      <c r="Q825" s="35">
        <f t="shared" si="101"/>
        <v>-0.8392093871661539</v>
      </c>
      <c r="R825" t="s">
        <v>1268</v>
      </c>
    </row>
    <row r="826" spans="1:18" x14ac:dyDescent="0.25">
      <c r="A826" s="33">
        <v>46052</v>
      </c>
      <c r="B826" s="1">
        <v>60166435</v>
      </c>
      <c r="C826" s="2" t="s">
        <v>1294</v>
      </c>
      <c r="D826" s="34">
        <v>-72914.5</v>
      </c>
      <c r="E826" t="s">
        <v>20</v>
      </c>
      <c r="F826" s="2" t="e">
        <f>VLOOKUP(Tabla3[[#This Row],[CONTABLE]],'SAPROV (2)'!L:M,2,FALSE)</f>
        <v>#N/A</v>
      </c>
      <c r="H826" t="s">
        <v>1280</v>
      </c>
      <c r="I826" s="2" t="str">
        <f>VLOOKUP(Tabla3[[#This Row],[Deposito]],'SAPROV (2)'!D:E,2,FALSE)</f>
        <v>01</v>
      </c>
      <c r="K826" s="2" t="s">
        <v>101</v>
      </c>
      <c r="L826" s="2" t="str">
        <f>VLOOKUP(Tabla3[[#This Row],[PROVEEDOR]],'SAPROV (2)'!A:B,2,FALSE)</f>
        <v>36</v>
      </c>
      <c r="M826" t="str">
        <f>VLOOKUP(Tabla3[[#This Row],[SERVICIO]],'SAPROV (2)'!I:J,2,FALSE)</f>
        <v>SERV0011</v>
      </c>
      <c r="N826" t="s">
        <v>927</v>
      </c>
      <c r="P826">
        <f>VLOOKUP(Tabla3[[#This Row],[FECHA]],TASA[],2,FALSE)</f>
        <v>367.31</v>
      </c>
      <c r="Q826" s="35">
        <f t="shared" si="101"/>
        <v>-198.50943344858567</v>
      </c>
      <c r="R826" t="s">
        <v>1268</v>
      </c>
    </row>
    <row r="827" spans="1:18" x14ac:dyDescent="0.25">
      <c r="A827" s="33">
        <v>46052</v>
      </c>
      <c r="B827" s="1">
        <v>60166435</v>
      </c>
      <c r="C827" s="2" t="s">
        <v>1257</v>
      </c>
      <c r="D827" s="34">
        <v>-109.37</v>
      </c>
      <c r="E827" t="s">
        <v>20</v>
      </c>
      <c r="F827" s="2" t="e">
        <f>VLOOKUP(Tabla3[[#This Row],[CONTABLE]],'SAPROV (2)'!L:M,2,FALSE)</f>
        <v>#N/A</v>
      </c>
      <c r="H827" t="s">
        <v>588</v>
      </c>
      <c r="I827" s="2" t="str">
        <f>VLOOKUP(Tabla3[[#This Row],[Deposito]],'SAPROV (2)'!D:E,2,FALSE)</f>
        <v>A01</v>
      </c>
      <c r="K827" s="23" t="s">
        <v>23</v>
      </c>
      <c r="L827" s="23" t="str">
        <f>VLOOKUP(Tabla3[[#This Row],[PROVEEDOR]],'SAPROV (2)'!A:B,2,FALSE)</f>
        <v>04</v>
      </c>
      <c r="M827" t="str">
        <f>VLOOKUP(Tabla3[[#This Row],[SERVICIO]],'SAPROV (2)'!I:J,2,FALSE)</f>
        <v>SERV0060</v>
      </c>
      <c r="N827" t="s">
        <v>611</v>
      </c>
      <c r="P827">
        <f>VLOOKUP(Tabla3[[#This Row],[FECHA]],TASA[],2,FALSE)</f>
        <v>367.31</v>
      </c>
      <c r="Q827" s="35">
        <f t="shared" si="101"/>
        <v>-0.29775938580490596</v>
      </c>
      <c r="R827" t="s">
        <v>1268</v>
      </c>
    </row>
    <row r="828" spans="1:18" x14ac:dyDescent="0.25">
      <c r="A828" s="33">
        <v>46052</v>
      </c>
      <c r="B828" s="1">
        <v>60166435</v>
      </c>
      <c r="C828" s="2" t="s">
        <v>1254</v>
      </c>
      <c r="D828" s="34">
        <v>-3827.95</v>
      </c>
      <c r="E828" t="s">
        <v>20</v>
      </c>
      <c r="F828" s="2" t="e">
        <f>VLOOKUP(Tabla3[[#This Row],[CONTABLE]],'SAPROV (2)'!L:M,2,FALSE)</f>
        <v>#N/A</v>
      </c>
      <c r="H828" t="s">
        <v>588</v>
      </c>
      <c r="I828" s="2" t="str">
        <f>VLOOKUP(Tabla3[[#This Row],[Deposito]],'SAPROV (2)'!D:E,2,FALSE)</f>
        <v>A01</v>
      </c>
      <c r="K828" s="23" t="s">
        <v>23</v>
      </c>
      <c r="L828" s="23" t="str">
        <f>VLOOKUP(Tabla3[[#This Row],[PROVEEDOR]],'SAPROV (2)'!A:B,2,FALSE)</f>
        <v>04</v>
      </c>
      <c r="M828" t="str">
        <f>VLOOKUP(Tabla3[[#This Row],[SERVICIO]],'SAPROV (2)'!I:J,2,FALSE)</f>
        <v>SERV0060</v>
      </c>
      <c r="N828" t="s">
        <v>611</v>
      </c>
      <c r="P828">
        <f>VLOOKUP(Tabla3[[#This Row],[FECHA]],TASA[],2,FALSE)</f>
        <v>367.31</v>
      </c>
      <c r="Q828" s="35">
        <f t="shared" ref="Q828" si="102">D828/P828</f>
        <v>-10.421578503171707</v>
      </c>
      <c r="R828" t="s">
        <v>1268</v>
      </c>
    </row>
    <row r="829" spans="1:18" x14ac:dyDescent="0.25">
      <c r="A829" s="33">
        <v>46052</v>
      </c>
      <c r="B829" s="1">
        <v>60130769</v>
      </c>
      <c r="C829" s="2" t="s">
        <v>1254</v>
      </c>
      <c r="D829" s="34">
        <v>-4030.29</v>
      </c>
      <c r="E829" t="s">
        <v>20</v>
      </c>
      <c r="F829" s="2" t="e">
        <f>VLOOKUP(Tabla3[[#This Row],[CONTABLE]],'SAPROV (2)'!L:M,2,FALSE)</f>
        <v>#N/A</v>
      </c>
      <c r="H829" t="s">
        <v>588</v>
      </c>
      <c r="I829" s="2" t="str">
        <f>VLOOKUP(Tabla3[[#This Row],[Deposito]],'SAPROV (2)'!D:E,2,FALSE)</f>
        <v>A01</v>
      </c>
      <c r="K829" s="23" t="s">
        <v>23</v>
      </c>
      <c r="L829" s="2" t="str">
        <f>VLOOKUP(Tabla3[[#This Row],[PROVEEDOR]],'SAPROV (2)'!A:B,2,FALSE)</f>
        <v>04</v>
      </c>
      <c r="M829" t="str">
        <f>VLOOKUP(Tabla3[[#This Row],[SERVICIO]],'SAPROV (2)'!I:J,2,FALSE)</f>
        <v>SERV0060</v>
      </c>
      <c r="N829" t="s">
        <v>611</v>
      </c>
      <c r="P829">
        <f>VLOOKUP(Tabla3[[#This Row],[FECHA]],TASA[],2,FALSE)</f>
        <v>367.31</v>
      </c>
      <c r="Q829" s="35">
        <f>D829/P829</f>
        <v>-10.972448340638698</v>
      </c>
      <c r="R829" t="s">
        <v>1268</v>
      </c>
    </row>
    <row r="830" spans="1:18" x14ac:dyDescent="0.25">
      <c r="A830" s="33">
        <v>46052</v>
      </c>
      <c r="C830" s="2" t="s">
        <v>1266</v>
      </c>
      <c r="D830" s="34">
        <v>-8</v>
      </c>
      <c r="E830" t="s">
        <v>20</v>
      </c>
      <c r="F830" s="2" t="e">
        <f>VLOOKUP(Tabla3[[#This Row],[CONTABLE]],'SAPROV (2)'!L:M,2,FALSE)</f>
        <v>#N/A</v>
      </c>
      <c r="H830" t="s">
        <v>588</v>
      </c>
      <c r="I830" s="2" t="str">
        <f>VLOOKUP(Tabla3[[#This Row],[Deposito]],'SAPROV (2)'!D:E,2,FALSE)</f>
        <v>A01</v>
      </c>
      <c r="K830" s="23" t="s">
        <v>23</v>
      </c>
      <c r="L830" s="23" t="str">
        <f>VLOOKUP(Tabla3[[#This Row],[PROVEEDOR]],'SAPROV (2)'!A:B,2,FALSE)</f>
        <v>04</v>
      </c>
      <c r="M830" t="str">
        <f>VLOOKUP(Tabla3[[#This Row],[SERVICIO]],'SAPROV (2)'!I:J,2,FALSE)</f>
        <v>SERV0060</v>
      </c>
      <c r="N830" t="s">
        <v>611</v>
      </c>
      <c r="P830">
        <f>VLOOKUP(Tabla3[[#This Row],[FECHA]],TASA[],2,FALSE)</f>
        <v>367.31</v>
      </c>
      <c r="Q830" s="35">
        <f t="shared" ref="Q830:Q831" si="103">D830/P830</f>
        <v>-2.1779967874547383E-2</v>
      </c>
      <c r="R830" t="s">
        <v>1268</v>
      </c>
    </row>
    <row r="831" spans="1:18" x14ac:dyDescent="0.25">
      <c r="A831" s="33">
        <v>46052</v>
      </c>
      <c r="C831" s="2" t="s">
        <v>1267</v>
      </c>
      <c r="D831" s="34">
        <v>-8</v>
      </c>
      <c r="E831" t="s">
        <v>20</v>
      </c>
      <c r="F831" s="2" t="e">
        <f>VLOOKUP(Tabla3[[#This Row],[CONTABLE]],'SAPROV (2)'!L:M,2,FALSE)</f>
        <v>#N/A</v>
      </c>
      <c r="H831" t="s">
        <v>588</v>
      </c>
      <c r="I831" s="2" t="str">
        <f>VLOOKUP(Tabla3[[#This Row],[Deposito]],'SAPROV (2)'!D:E,2,FALSE)</f>
        <v>A01</v>
      </c>
      <c r="K831" s="23" t="s">
        <v>23</v>
      </c>
      <c r="L831" s="23" t="str">
        <f>VLOOKUP(Tabla3[[#This Row],[PROVEEDOR]],'SAPROV (2)'!A:B,2,FALSE)</f>
        <v>04</v>
      </c>
      <c r="M831" t="str">
        <f>VLOOKUP(Tabla3[[#This Row],[SERVICIO]],'SAPROV (2)'!I:J,2,FALSE)</f>
        <v>SERV0060</v>
      </c>
      <c r="N831" t="s">
        <v>611</v>
      </c>
      <c r="P831">
        <f>VLOOKUP(Tabla3[[#This Row],[FECHA]],TASA[],2,FALSE)</f>
        <v>367.31</v>
      </c>
      <c r="Q831" s="35">
        <f t="shared" si="103"/>
        <v>-2.1779967874547383E-2</v>
      </c>
      <c r="R831" t="s">
        <v>1268</v>
      </c>
    </row>
    <row r="832" spans="1:18" x14ac:dyDescent="0.25">
      <c r="A832" s="33">
        <v>46028</v>
      </c>
      <c r="B832" s="1">
        <v>329288610001</v>
      </c>
      <c r="C832" s="2" t="s">
        <v>1269</v>
      </c>
      <c r="D832" s="34">
        <v>-528268.44999999995</v>
      </c>
      <c r="E832" t="s">
        <v>20</v>
      </c>
      <c r="F832" s="2" t="e">
        <f>VLOOKUP(Tabla3[[#This Row],[CONTABLE]],'SAPROV (2)'!L:M,2,FALSE)</f>
        <v>#N/A</v>
      </c>
      <c r="H832" t="s">
        <v>588</v>
      </c>
      <c r="I832" s="2" t="str">
        <f>VLOOKUP(Tabla3[[#This Row],[Deposito]],'SAPROV (2)'!D:E,2,FALSE)</f>
        <v>A01</v>
      </c>
      <c r="K832" s="2" t="s">
        <v>101</v>
      </c>
      <c r="L832" s="2" t="str">
        <f>VLOOKUP(Tabla3[[#This Row],[PROVEEDOR]],'SAPROV (2)'!A:B,2,FALSE)</f>
        <v>36</v>
      </c>
      <c r="M832" t="str">
        <f>VLOOKUP(Tabla3[[#This Row],[SERVICIO]],'SAPROV (2)'!I:J,2,FALSE)</f>
        <v>SERV0011</v>
      </c>
      <c r="N832" t="s">
        <v>927</v>
      </c>
      <c r="P832">
        <f>VLOOKUP(Tabla3[[#This Row],[FECHA]],TASA[],2,FALSE)</f>
        <v>308.14999999999998</v>
      </c>
      <c r="Q832" s="35">
        <f>D832/P832</f>
        <v>-1714.3224079182216</v>
      </c>
      <c r="R832" t="s">
        <v>1253</v>
      </c>
    </row>
    <row r="833" spans="1:18" x14ac:dyDescent="0.25">
      <c r="A833" s="33">
        <v>46037</v>
      </c>
      <c r="B833" s="1">
        <v>0</v>
      </c>
      <c r="C833" s="2" t="s">
        <v>1270</v>
      </c>
      <c r="D833" s="34">
        <v>-2000</v>
      </c>
      <c r="E833" t="s">
        <v>20</v>
      </c>
      <c r="F833" s="2" t="e">
        <f>VLOOKUP(Tabla3[[#This Row],[CONTABLE]],'SAPROV (2)'!L:M,2,FALSE)</f>
        <v>#N/A</v>
      </c>
      <c r="H833" t="s">
        <v>588</v>
      </c>
      <c r="I833" s="2" t="str">
        <f>VLOOKUP(Tabla3[[#This Row],[Deposito]],'SAPROV (2)'!D:E,2,FALSE)</f>
        <v>A01</v>
      </c>
      <c r="K833" s="2" t="s">
        <v>97</v>
      </c>
      <c r="L833" s="23" t="str">
        <f>VLOOKUP(Tabla3[[#This Row],[PROVEEDOR]],'SAPROV (2)'!A:B,2,FALSE)</f>
        <v>34</v>
      </c>
      <c r="M833" t="str">
        <f>VLOOKUP(Tabla3[[#This Row],[SERVICIO]],'SAPROV (2)'!I:J,2,FALSE)</f>
        <v>SERV0039</v>
      </c>
      <c r="N833" t="s">
        <v>771</v>
      </c>
      <c r="P833">
        <v>1</v>
      </c>
      <c r="Q833" s="35">
        <f t="shared" ref="Q833:Q835" si="104">D833/P833</f>
        <v>-2000</v>
      </c>
      <c r="R833" t="s">
        <v>1273</v>
      </c>
    </row>
    <row r="834" spans="1:18" x14ac:dyDescent="0.25">
      <c r="A834" s="33">
        <v>46044</v>
      </c>
      <c r="B834" s="1">
        <v>0</v>
      </c>
      <c r="C834" s="2" t="s">
        <v>1271</v>
      </c>
      <c r="D834" s="34">
        <v>-1560</v>
      </c>
      <c r="E834" t="s">
        <v>20</v>
      </c>
      <c r="F834" s="2" t="e">
        <f>VLOOKUP(Tabla3[[#This Row],[CONTABLE]],'SAPROV (2)'!L:M,2,FALSE)</f>
        <v>#N/A</v>
      </c>
      <c r="H834" t="s">
        <v>588</v>
      </c>
      <c r="I834" s="2" t="str">
        <f>VLOOKUP(Tabla3[[#This Row],[Deposito]],'SAPROV (2)'!D:E,2,FALSE)</f>
        <v>A01</v>
      </c>
      <c r="K834" s="2" t="s">
        <v>97</v>
      </c>
      <c r="L834" s="23" t="str">
        <f>VLOOKUP(Tabla3[[#This Row],[PROVEEDOR]],'SAPROV (2)'!A:B,2,FALSE)</f>
        <v>34</v>
      </c>
      <c r="M834" t="str">
        <f>VLOOKUP(Tabla3[[#This Row],[SERVICIO]],'SAPROV (2)'!I:J,2,FALSE)</f>
        <v>SERV0064</v>
      </c>
      <c r="N834" t="s">
        <v>876</v>
      </c>
      <c r="P834">
        <v>1</v>
      </c>
      <c r="Q834" s="35">
        <f t="shared" si="104"/>
        <v>-1560</v>
      </c>
      <c r="R834" t="s">
        <v>1273</v>
      </c>
    </row>
    <row r="835" spans="1:18" x14ac:dyDescent="0.25">
      <c r="A835" s="33">
        <v>46044</v>
      </c>
      <c r="B835" s="1">
        <v>0</v>
      </c>
      <c r="C835" s="2" t="s">
        <v>1272</v>
      </c>
      <c r="D835" s="34">
        <v>-2500</v>
      </c>
      <c r="E835" t="s">
        <v>20</v>
      </c>
      <c r="F835" s="2" t="e">
        <f>VLOOKUP(Tabla3[[#This Row],[CONTABLE]],'SAPROV (2)'!L:M,2,FALSE)</f>
        <v>#N/A</v>
      </c>
      <c r="H835" t="s">
        <v>588</v>
      </c>
      <c r="I835" s="2" t="str">
        <f>VLOOKUP(Tabla3[[#This Row],[Deposito]],'SAPROV (2)'!D:E,2,FALSE)</f>
        <v>A01</v>
      </c>
      <c r="K835" s="2" t="s">
        <v>97</v>
      </c>
      <c r="L835" s="2" t="str">
        <f>VLOOKUP(Tabla3[[#This Row],[PROVEEDOR]],'SAPROV (2)'!A:B,2,FALSE)</f>
        <v>34</v>
      </c>
      <c r="M835" t="str">
        <f>VLOOKUP(Tabla3[[#This Row],[SERVICIO]],'SAPROV (2)'!I:J,2,FALSE)</f>
        <v>SERV0064</v>
      </c>
      <c r="N835" t="s">
        <v>876</v>
      </c>
      <c r="P835">
        <v>1</v>
      </c>
      <c r="Q835" s="35">
        <f t="shared" si="104"/>
        <v>-2500</v>
      </c>
      <c r="R835" t="s">
        <v>1273</v>
      </c>
    </row>
    <row r="836" spans="1:18" x14ac:dyDescent="0.25">
      <c r="A836" s="33">
        <v>46028</v>
      </c>
      <c r="B836" s="1">
        <v>130685</v>
      </c>
      <c r="C836" s="2" t="s">
        <v>1295</v>
      </c>
      <c r="D836" s="34">
        <v>-197216</v>
      </c>
      <c r="E836" t="s">
        <v>20</v>
      </c>
      <c r="F836" s="2" t="e">
        <f>VLOOKUP(Tabla3[[#This Row],[CONTABLE]],'SAPROV (2)'!L:M,2,FALSE)</f>
        <v>#N/A</v>
      </c>
      <c r="H836" t="s">
        <v>588</v>
      </c>
      <c r="I836" s="2" t="str">
        <f>VLOOKUP(Tabla3[[#This Row],[Deposito]],'SAPROV (2)'!D:E,2,FALSE)</f>
        <v>A01</v>
      </c>
      <c r="K836" t="s">
        <v>26</v>
      </c>
      <c r="L836" s="23" t="str">
        <f>VLOOKUP(Tabla3[[#This Row],[PROVEEDOR]],'SAPROV (2)'!A:B,2,FALSE)</f>
        <v>38</v>
      </c>
      <c r="M836" t="str">
        <f>VLOOKUP(Tabla3[[#This Row],[SERVICIO]],'SAPROV (2)'!I:J,2,FALSE)</f>
        <v>SERV0039</v>
      </c>
      <c r="N836" t="s">
        <v>771</v>
      </c>
      <c r="P836">
        <f>VLOOKUP(Tabla3[[#This Row],[FECHA]],TASA[],2,FALSE)</f>
        <v>308.14999999999998</v>
      </c>
      <c r="Q836" s="4">
        <f t="shared" ref="Q836:Q899" si="105">D836/P836</f>
        <v>-640</v>
      </c>
      <c r="R836" t="s">
        <v>1465</v>
      </c>
    </row>
    <row r="837" spans="1:18" x14ac:dyDescent="0.25">
      <c r="A837" s="33">
        <v>46028</v>
      </c>
      <c r="B837" s="1">
        <v>130685</v>
      </c>
      <c r="C837" s="2" t="s">
        <v>1296</v>
      </c>
      <c r="D837" s="34">
        <v>-591.65</v>
      </c>
      <c r="E837" t="s">
        <v>20</v>
      </c>
      <c r="F837" s="2" t="e">
        <f>VLOOKUP(Tabla3[[#This Row],[CONTABLE]],'SAPROV (2)'!L:M,2,FALSE)</f>
        <v>#N/A</v>
      </c>
      <c r="H837" t="s">
        <v>588</v>
      </c>
      <c r="I837" s="2" t="str">
        <f>VLOOKUP(Tabla3[[#This Row],[Deposito]],'SAPROV (2)'!D:E,2,FALSE)</f>
        <v>A01</v>
      </c>
      <c r="K837" s="23" t="s">
        <v>23</v>
      </c>
      <c r="L837" s="23" t="str">
        <f>VLOOKUP(Tabla3[[#This Row],[PROVEEDOR]],'SAPROV (2)'!A:B,2,FALSE)</f>
        <v>04</v>
      </c>
      <c r="M837" t="str">
        <f>VLOOKUP(Tabla3[[#This Row],[SERVICIO]],'SAPROV (2)'!I:J,2,FALSE)</f>
        <v>SERV0060</v>
      </c>
      <c r="N837" t="s">
        <v>611</v>
      </c>
      <c r="P837">
        <f>VLOOKUP(Tabla3[[#This Row],[FECHA]],TASA[],2,FALSE)</f>
        <v>308.14999999999998</v>
      </c>
      <c r="Q837" s="4">
        <f t="shared" si="105"/>
        <v>-1.9200064903456109</v>
      </c>
      <c r="R837" t="s">
        <v>1465</v>
      </c>
    </row>
    <row r="838" spans="1:18" x14ac:dyDescent="0.25">
      <c r="A838" s="33">
        <v>46029</v>
      </c>
      <c r="B838" s="1">
        <v>102426</v>
      </c>
      <c r="C838" s="2" t="s">
        <v>1297</v>
      </c>
      <c r="D838" s="34">
        <v>-155940</v>
      </c>
      <c r="E838" t="s">
        <v>20</v>
      </c>
      <c r="F838" s="2" t="e">
        <f>VLOOKUP(Tabla3[[#This Row],[CONTABLE]],'SAPROV (2)'!L:M,2,FALSE)</f>
        <v>#N/A</v>
      </c>
      <c r="H838" t="s">
        <v>588</v>
      </c>
      <c r="I838" s="2" t="str">
        <f>VLOOKUP(Tabla3[[#This Row],[Deposito]],'SAPROV (2)'!D:E,2,FALSE)</f>
        <v>A01</v>
      </c>
      <c r="K838" t="s">
        <v>26</v>
      </c>
      <c r="L838" s="2" t="str">
        <f>VLOOKUP(Tabla3[[#This Row],[PROVEEDOR]],'SAPROV (2)'!A:B,2,FALSE)</f>
        <v>38</v>
      </c>
      <c r="M838" t="str">
        <f>VLOOKUP(Tabla3[[#This Row],[SERVICIO]],'SAPROV (2)'!I:J,2,FALSE)</f>
        <v>SERV0039</v>
      </c>
      <c r="N838" t="s">
        <v>771</v>
      </c>
      <c r="P838">
        <f>VLOOKUP(Tabla3[[#This Row],[FECHA]],TASA[],2,FALSE)</f>
        <v>311.88</v>
      </c>
      <c r="Q838" s="4">
        <f t="shared" si="105"/>
        <v>-500</v>
      </c>
      <c r="R838" t="s">
        <v>1465</v>
      </c>
    </row>
    <row r="839" spans="1:18" x14ac:dyDescent="0.25">
      <c r="A839" s="33">
        <v>46029</v>
      </c>
      <c r="B839" s="1">
        <v>102426</v>
      </c>
      <c r="C839" s="2" t="s">
        <v>1298</v>
      </c>
      <c r="D839" s="34">
        <v>-467.82</v>
      </c>
      <c r="E839" t="s">
        <v>20</v>
      </c>
      <c r="F839" s="2" t="e">
        <f>VLOOKUP(Tabla3[[#This Row],[CONTABLE]],'SAPROV (2)'!L:M,2,FALSE)</f>
        <v>#N/A</v>
      </c>
      <c r="H839" t="s">
        <v>588</v>
      </c>
      <c r="I839" s="2" t="str">
        <f>VLOOKUP(Tabla3[[#This Row],[Deposito]],'SAPROV (2)'!D:E,2,FALSE)</f>
        <v>A01</v>
      </c>
      <c r="K839" s="23" t="s">
        <v>23</v>
      </c>
      <c r="L839" s="23" t="str">
        <f>VLOOKUP(Tabla3[[#This Row],[PROVEEDOR]],'SAPROV (2)'!A:B,2,FALSE)</f>
        <v>04</v>
      </c>
      <c r="M839" t="str">
        <f>VLOOKUP(Tabla3[[#This Row],[SERVICIO]],'SAPROV (2)'!I:J,2,FALSE)</f>
        <v>SERV0060</v>
      </c>
      <c r="N839" t="s">
        <v>611</v>
      </c>
      <c r="P839">
        <f>VLOOKUP(Tabla3[[#This Row],[FECHA]],TASA[],2,FALSE)</f>
        <v>311.88</v>
      </c>
      <c r="Q839" s="4">
        <f t="shared" si="105"/>
        <v>-1.5</v>
      </c>
      <c r="R839" t="s">
        <v>1465</v>
      </c>
    </row>
    <row r="840" spans="1:18" x14ac:dyDescent="0.25">
      <c r="A840" s="33">
        <v>46029</v>
      </c>
      <c r="B840" s="1">
        <v>102428</v>
      </c>
      <c r="C840" s="2" t="s">
        <v>1299</v>
      </c>
      <c r="D840" s="34">
        <v>-12999.16</v>
      </c>
      <c r="E840" t="s">
        <v>20</v>
      </c>
      <c r="F840" s="2" t="e">
        <f>VLOOKUP(Tabla3[[#This Row],[CONTABLE]],'SAPROV (2)'!L:M,2,FALSE)</f>
        <v>#N/A</v>
      </c>
      <c r="H840" t="s">
        <v>1278</v>
      </c>
      <c r="I840" s="2" t="str">
        <f>VLOOKUP(Tabla3[[#This Row],[Deposito]],'SAPROV (2)'!D:E,2,FALSE)</f>
        <v>06</v>
      </c>
      <c r="K840" t="s">
        <v>106</v>
      </c>
      <c r="L840" s="23" t="str">
        <f>VLOOKUP(Tabla3[[#This Row],[PROVEEDOR]],'SAPROV (2)'!A:B,2,FALSE)</f>
        <v>39</v>
      </c>
      <c r="M840" t="str">
        <f>VLOOKUP(Tabla3[[#This Row],[SERVICIO]],'SAPROV (2)'!I:J,2,FALSE)</f>
        <v>SERV0049E</v>
      </c>
      <c r="N840" t="s">
        <v>657</v>
      </c>
      <c r="P840">
        <f>VLOOKUP(Tabla3[[#This Row],[FECHA]],TASA[],2,FALSE)</f>
        <v>311.88</v>
      </c>
      <c r="Q840" s="4">
        <f t="shared" si="105"/>
        <v>-41.680005130178273</v>
      </c>
      <c r="R840" t="s">
        <v>1465</v>
      </c>
    </row>
    <row r="841" spans="1:18" x14ac:dyDescent="0.25">
      <c r="A841" s="33">
        <v>46029</v>
      </c>
      <c r="B841" s="1">
        <v>102428</v>
      </c>
      <c r="C841" s="2" t="s">
        <v>1300</v>
      </c>
      <c r="D841" s="34">
        <v>-39</v>
      </c>
      <c r="E841" t="s">
        <v>20</v>
      </c>
      <c r="F841" s="2" t="e">
        <f>VLOOKUP(Tabla3[[#This Row],[CONTABLE]],'SAPROV (2)'!L:M,2,FALSE)</f>
        <v>#N/A</v>
      </c>
      <c r="H841" t="s">
        <v>588</v>
      </c>
      <c r="I841" s="2" t="str">
        <f>VLOOKUP(Tabla3[[#This Row],[Deposito]],'SAPROV (2)'!D:E,2,FALSE)</f>
        <v>A01</v>
      </c>
      <c r="K841" s="23" t="s">
        <v>23</v>
      </c>
      <c r="L841" s="2" t="str">
        <f>VLOOKUP(Tabla3[[#This Row],[PROVEEDOR]],'SAPROV (2)'!A:B,2,FALSE)</f>
        <v>04</v>
      </c>
      <c r="M841" t="str">
        <f>VLOOKUP(Tabla3[[#This Row],[SERVICIO]],'SAPROV (2)'!I:J,2,FALSE)</f>
        <v>SERV0060</v>
      </c>
      <c r="N841" t="s">
        <v>611</v>
      </c>
      <c r="P841">
        <f>VLOOKUP(Tabla3[[#This Row],[FECHA]],TASA[],2,FALSE)</f>
        <v>311.88</v>
      </c>
      <c r="Q841" s="4">
        <f t="shared" si="105"/>
        <v>-0.1250480954213159</v>
      </c>
      <c r="R841" t="s">
        <v>1465</v>
      </c>
    </row>
    <row r="842" spans="1:18" x14ac:dyDescent="0.25">
      <c r="A842" s="33">
        <v>46029</v>
      </c>
      <c r="B842" s="1">
        <v>102432</v>
      </c>
      <c r="C842" s="2" t="s">
        <v>1301</v>
      </c>
      <c r="D842" s="34">
        <v>-304.92</v>
      </c>
      <c r="E842" t="s">
        <v>20</v>
      </c>
      <c r="F842" s="2" t="e">
        <f>VLOOKUP(Tabla3[[#This Row],[CONTABLE]],'SAPROV (2)'!L:M,2,FALSE)</f>
        <v>#N/A</v>
      </c>
      <c r="H842" t="s">
        <v>588</v>
      </c>
      <c r="I842" s="2" t="str">
        <f>VLOOKUP(Tabla3[[#This Row],[Deposito]],'SAPROV (2)'!D:E,2,FALSE)</f>
        <v>A01</v>
      </c>
      <c r="K842" s="23" t="s">
        <v>23</v>
      </c>
      <c r="L842" s="23" t="str">
        <f>VLOOKUP(Tabla3[[#This Row],[PROVEEDOR]],'SAPROV (2)'!A:B,2,FALSE)</f>
        <v>04</v>
      </c>
      <c r="M842" t="str">
        <f>VLOOKUP(Tabla3[[#This Row],[SERVICIO]],'SAPROV (2)'!I:J,2,FALSE)</f>
        <v>SERV0060</v>
      </c>
      <c r="N842" t="s">
        <v>611</v>
      </c>
      <c r="P842">
        <f>VLOOKUP(Tabla3[[#This Row],[FECHA]],TASA[],2,FALSE)</f>
        <v>311.88</v>
      </c>
      <c r="Q842" s="4">
        <f t="shared" si="105"/>
        <v>-0.97768372450942675</v>
      </c>
      <c r="R842" t="s">
        <v>1465</v>
      </c>
    </row>
    <row r="843" spans="1:18" x14ac:dyDescent="0.25">
      <c r="A843" s="33">
        <v>46031</v>
      </c>
      <c r="B843" s="1">
        <v>246783</v>
      </c>
      <c r="C843" s="2" t="s">
        <v>1301</v>
      </c>
      <c r="D843" s="34">
        <v>-124.05</v>
      </c>
      <c r="E843" t="s">
        <v>20</v>
      </c>
      <c r="F843" s="2" t="e">
        <f>VLOOKUP(Tabla3[[#This Row],[CONTABLE]],'SAPROV (2)'!L:M,2,FALSE)</f>
        <v>#N/A</v>
      </c>
      <c r="H843" t="s">
        <v>588</v>
      </c>
      <c r="I843" s="2" t="str">
        <f>VLOOKUP(Tabla3[[#This Row],[Deposito]],'SAPROV (2)'!D:E,2,FALSE)</f>
        <v>A01</v>
      </c>
      <c r="K843" s="23" t="s">
        <v>23</v>
      </c>
      <c r="L843" s="23" t="str">
        <f>VLOOKUP(Tabla3[[#This Row],[PROVEEDOR]],'SAPROV (2)'!A:B,2,FALSE)</f>
        <v>04</v>
      </c>
      <c r="M843" t="str">
        <f>VLOOKUP(Tabla3[[#This Row],[SERVICIO]],'SAPROV (2)'!I:J,2,FALSE)</f>
        <v>SERV0060</v>
      </c>
      <c r="N843" t="s">
        <v>611</v>
      </c>
      <c r="P843">
        <f>VLOOKUP(Tabla3[[#This Row],[FECHA]],TASA[],2,FALSE)</f>
        <v>325.39</v>
      </c>
      <c r="Q843" s="4">
        <f t="shared" si="105"/>
        <v>-0.3812348259012262</v>
      </c>
      <c r="R843" t="s">
        <v>1465</v>
      </c>
    </row>
    <row r="844" spans="1:18" x14ac:dyDescent="0.25">
      <c r="A844" s="33">
        <v>46031</v>
      </c>
      <c r="B844" s="1">
        <v>246786</v>
      </c>
      <c r="C844" s="2" t="s">
        <v>1302</v>
      </c>
      <c r="D844" s="34">
        <v>-80193.87</v>
      </c>
      <c r="E844" t="s">
        <v>20</v>
      </c>
      <c r="F844" s="2" t="e">
        <f>VLOOKUP(Tabla3[[#This Row],[CONTABLE]],'SAPROV (2)'!L:M,2,FALSE)</f>
        <v>#N/A</v>
      </c>
      <c r="H844" s="2" t="s">
        <v>1274</v>
      </c>
      <c r="I844" s="2" t="str">
        <f>VLOOKUP(Tabla3[[#This Row],[Deposito]],'SAPROV (2)'!D:E,2,FALSE)</f>
        <v>02</v>
      </c>
      <c r="K844" s="2" t="s">
        <v>32</v>
      </c>
      <c r="L844" s="2" t="str">
        <f>VLOOKUP(Tabla3[[#This Row],[PROVEEDOR]],'SAPROV (2)'!A:B,2,FALSE)</f>
        <v>001</v>
      </c>
      <c r="M844" t="str">
        <f>VLOOKUP(Tabla3[[#This Row],[SERVICIO]],'SAPROV (2)'!I:J,2,FALSE)</f>
        <v>SERV0202</v>
      </c>
      <c r="N844" t="s">
        <v>605</v>
      </c>
      <c r="P844">
        <f>VLOOKUP(Tabla3[[#This Row],[FECHA]],TASA[],2,FALSE)</f>
        <v>325.39</v>
      </c>
      <c r="Q844" s="39">
        <f t="shared" si="105"/>
        <v>-246.45462368235042</v>
      </c>
      <c r="R844" t="s">
        <v>1465</v>
      </c>
    </row>
    <row r="845" spans="1:18" x14ac:dyDescent="0.25">
      <c r="A845" s="33">
        <v>46031</v>
      </c>
      <c r="B845" s="1">
        <v>246786</v>
      </c>
      <c r="C845" s="2" t="s">
        <v>1303</v>
      </c>
      <c r="D845" s="34">
        <v>-240.58</v>
      </c>
      <c r="E845" t="s">
        <v>20</v>
      </c>
      <c r="F845" s="2" t="e">
        <f>VLOOKUP(Tabla3[[#This Row],[CONTABLE]],'SAPROV (2)'!L:M,2,FALSE)</f>
        <v>#N/A</v>
      </c>
      <c r="H845" t="s">
        <v>588</v>
      </c>
      <c r="I845" s="2" t="str">
        <f>VLOOKUP(Tabla3[[#This Row],[Deposito]],'SAPROV (2)'!D:E,2,FALSE)</f>
        <v>A01</v>
      </c>
      <c r="K845" s="23" t="s">
        <v>23</v>
      </c>
      <c r="L845" s="23" t="str">
        <f>VLOOKUP(Tabla3[[#This Row],[PROVEEDOR]],'SAPROV (2)'!A:B,2,FALSE)</f>
        <v>04</v>
      </c>
      <c r="M845" t="str">
        <f>VLOOKUP(Tabla3[[#This Row],[SERVICIO]],'SAPROV (2)'!I:J,2,FALSE)</f>
        <v>SERV0060</v>
      </c>
      <c r="N845" t="s">
        <v>611</v>
      </c>
      <c r="P845">
        <f>VLOOKUP(Tabla3[[#This Row],[FECHA]],TASA[],2,FALSE)</f>
        <v>325.39</v>
      </c>
      <c r="Q845" s="4">
        <f t="shared" si="105"/>
        <v>-0.7393589231383878</v>
      </c>
      <c r="R845" t="s">
        <v>1465</v>
      </c>
    </row>
    <row r="846" spans="1:18" x14ac:dyDescent="0.25">
      <c r="A846" s="33">
        <v>46035</v>
      </c>
      <c r="B846" s="1">
        <v>73310</v>
      </c>
      <c r="C846" s="2" t="s">
        <v>1304</v>
      </c>
      <c r="D846" s="34">
        <v>-2980.03</v>
      </c>
      <c r="E846" t="s">
        <v>20</v>
      </c>
      <c r="F846" s="2" t="e">
        <f>VLOOKUP(Tabla3[[#This Row],[CONTABLE]],'SAPROV (2)'!L:M,2,FALSE)</f>
        <v>#N/A</v>
      </c>
      <c r="H846" t="s">
        <v>1278</v>
      </c>
      <c r="I846" s="2" t="str">
        <f>VLOOKUP(Tabla3[[#This Row],[Deposito]],'SAPROV (2)'!D:E,2,FALSE)</f>
        <v>06</v>
      </c>
      <c r="K846" s="2" t="s">
        <v>101</v>
      </c>
      <c r="L846" s="23" t="str">
        <f>VLOOKUP(Tabla3[[#This Row],[PROVEEDOR]],'SAPROV (2)'!A:B,2,FALSE)</f>
        <v>36</v>
      </c>
      <c r="M846" t="str">
        <f>VLOOKUP(Tabla3[[#This Row],[SERVICIO]],'SAPROV (2)'!I:J,2,FALSE)</f>
        <v>SERV0011</v>
      </c>
      <c r="N846" t="s">
        <v>927</v>
      </c>
      <c r="P846">
        <f>VLOOKUP(Tabla3[[#This Row],[FECHA]],TASA[],2,FALSE)</f>
        <v>330.38</v>
      </c>
      <c r="Q846" s="4">
        <f t="shared" si="105"/>
        <v>-9.0200072643622509</v>
      </c>
      <c r="R846" t="s">
        <v>1465</v>
      </c>
    </row>
    <row r="847" spans="1:18" x14ac:dyDescent="0.25">
      <c r="A847" s="33">
        <v>46035</v>
      </c>
      <c r="B847" s="1">
        <v>73310</v>
      </c>
      <c r="C847" s="2" t="s">
        <v>1305</v>
      </c>
      <c r="D847" s="34">
        <v>-8.94</v>
      </c>
      <c r="E847" t="s">
        <v>20</v>
      </c>
      <c r="F847" s="2" t="e">
        <f>VLOOKUP(Tabla3[[#This Row],[CONTABLE]],'SAPROV (2)'!L:M,2,FALSE)</f>
        <v>#N/A</v>
      </c>
      <c r="H847" t="s">
        <v>588</v>
      </c>
      <c r="I847" s="2" t="str">
        <f>VLOOKUP(Tabla3[[#This Row],[Deposito]],'SAPROV (2)'!D:E,2,FALSE)</f>
        <v>A01</v>
      </c>
      <c r="K847" s="23" t="s">
        <v>23</v>
      </c>
      <c r="L847" s="2" t="str">
        <f>VLOOKUP(Tabla3[[#This Row],[PROVEEDOR]],'SAPROV (2)'!A:B,2,FALSE)</f>
        <v>04</v>
      </c>
      <c r="M847" t="str">
        <f>VLOOKUP(Tabla3[[#This Row],[SERVICIO]],'SAPROV (2)'!I:J,2,FALSE)</f>
        <v>SERV0060</v>
      </c>
      <c r="N847" t="s">
        <v>611</v>
      </c>
      <c r="P847">
        <f>VLOOKUP(Tabla3[[#This Row],[FECHA]],TASA[],2,FALSE)</f>
        <v>330.38</v>
      </c>
      <c r="Q847" s="4">
        <f t="shared" si="105"/>
        <v>-2.7059749379502389E-2</v>
      </c>
      <c r="R847" t="s">
        <v>1465</v>
      </c>
    </row>
    <row r="848" spans="1:18" x14ac:dyDescent="0.25">
      <c r="A848" s="33">
        <v>46035</v>
      </c>
      <c r="B848" s="1">
        <v>73311</v>
      </c>
      <c r="C848" s="2" t="s">
        <v>1471</v>
      </c>
      <c r="D848" s="34">
        <v>-11493.92</v>
      </c>
      <c r="E848" t="s">
        <v>20</v>
      </c>
      <c r="F848" s="2" t="e">
        <f>VLOOKUP(Tabla3[[#This Row],[CONTABLE]],'SAPROV (2)'!L:M,2,FALSE)</f>
        <v>#N/A</v>
      </c>
      <c r="H848" t="s">
        <v>1280</v>
      </c>
      <c r="I848" s="2" t="str">
        <f>VLOOKUP(Tabla3[[#This Row],[Deposito]],'SAPROV (2)'!D:E,2,FALSE)</f>
        <v>01</v>
      </c>
      <c r="K848" s="2" t="s">
        <v>101</v>
      </c>
      <c r="L848" s="23" t="str">
        <f>VLOOKUP(Tabla3[[#This Row],[PROVEEDOR]],'SAPROV (2)'!A:B,2,FALSE)</f>
        <v>36</v>
      </c>
      <c r="M848" t="str">
        <f>VLOOKUP(Tabla3[[#This Row],[SERVICIO]],'SAPROV (2)'!I:J,2,FALSE)</f>
        <v>SERV0011</v>
      </c>
      <c r="N848" t="s">
        <v>927</v>
      </c>
      <c r="P848">
        <f>VLOOKUP(Tabla3[[#This Row],[FECHA]],TASA[],2,FALSE)</f>
        <v>330.38</v>
      </c>
      <c r="Q848" s="4">
        <f t="shared" si="105"/>
        <v>-34.789999394636482</v>
      </c>
      <c r="R848" t="s">
        <v>1465</v>
      </c>
    </row>
    <row r="849" spans="1:18" x14ac:dyDescent="0.25">
      <c r="A849" s="33">
        <v>46035</v>
      </c>
      <c r="B849" s="1">
        <v>73311</v>
      </c>
      <c r="C849" s="2" t="s">
        <v>1306</v>
      </c>
      <c r="D849" s="34">
        <v>-34.479999999999997</v>
      </c>
      <c r="E849" t="s">
        <v>20</v>
      </c>
      <c r="F849" s="2" t="e">
        <f>VLOOKUP(Tabla3[[#This Row],[CONTABLE]],'SAPROV (2)'!L:M,2,FALSE)</f>
        <v>#N/A</v>
      </c>
      <c r="H849" t="s">
        <v>588</v>
      </c>
      <c r="I849" s="2" t="str">
        <f>VLOOKUP(Tabla3[[#This Row],[Deposito]],'SAPROV (2)'!D:E,2,FALSE)</f>
        <v>A01</v>
      </c>
      <c r="K849" s="23" t="s">
        <v>23</v>
      </c>
      <c r="L849" s="23" t="str">
        <f>VLOOKUP(Tabla3[[#This Row],[PROVEEDOR]],'SAPROV (2)'!A:B,2,FALSE)</f>
        <v>04</v>
      </c>
      <c r="M849" t="str">
        <f>VLOOKUP(Tabla3[[#This Row],[SERVICIO]],'SAPROV (2)'!I:J,2,FALSE)</f>
        <v>SERV0060</v>
      </c>
      <c r="N849" t="s">
        <v>611</v>
      </c>
      <c r="P849">
        <f>VLOOKUP(Tabla3[[#This Row],[FECHA]],TASA[],2,FALSE)</f>
        <v>330.38</v>
      </c>
      <c r="Q849" s="4">
        <f t="shared" si="105"/>
        <v>-0.10436467098492644</v>
      </c>
      <c r="R849" t="s">
        <v>1465</v>
      </c>
    </row>
    <row r="850" spans="1:18" x14ac:dyDescent="0.25">
      <c r="A850" s="33">
        <v>46035</v>
      </c>
      <c r="B850" s="1">
        <v>73314</v>
      </c>
      <c r="C850" s="2" t="s">
        <v>1307</v>
      </c>
      <c r="D850" s="34">
        <v>-2980.03</v>
      </c>
      <c r="E850" t="s">
        <v>20</v>
      </c>
      <c r="F850" s="2" t="e">
        <f>VLOOKUP(Tabla3[[#This Row],[CONTABLE]],'SAPROV (2)'!L:M,2,FALSE)</f>
        <v>#N/A</v>
      </c>
      <c r="H850" t="s">
        <v>1278</v>
      </c>
      <c r="I850" s="2" t="str">
        <f>VLOOKUP(Tabla3[[#This Row],[Deposito]],'SAPROV (2)'!D:E,2,FALSE)</f>
        <v>06</v>
      </c>
      <c r="K850" s="2" t="s">
        <v>101</v>
      </c>
      <c r="L850" s="2" t="str">
        <f>VLOOKUP(Tabla3[[#This Row],[PROVEEDOR]],'SAPROV (2)'!A:B,2,FALSE)</f>
        <v>36</v>
      </c>
      <c r="M850" t="str">
        <f>VLOOKUP(Tabla3[[#This Row],[SERVICIO]],'SAPROV (2)'!I:J,2,FALSE)</f>
        <v>SERV0011</v>
      </c>
      <c r="N850" t="s">
        <v>927</v>
      </c>
      <c r="P850">
        <f>VLOOKUP(Tabla3[[#This Row],[FECHA]],TASA[],2,FALSE)</f>
        <v>330.38</v>
      </c>
      <c r="Q850" s="4">
        <f t="shared" si="105"/>
        <v>-9.0200072643622509</v>
      </c>
      <c r="R850" t="s">
        <v>1465</v>
      </c>
    </row>
    <row r="851" spans="1:18" x14ac:dyDescent="0.25">
      <c r="A851" s="33">
        <v>46035</v>
      </c>
      <c r="B851" s="1">
        <v>73314</v>
      </c>
      <c r="C851" s="2" t="s">
        <v>1308</v>
      </c>
      <c r="D851" s="34">
        <v>-8.94</v>
      </c>
      <c r="E851" t="s">
        <v>20</v>
      </c>
      <c r="F851" s="2" t="e">
        <f>VLOOKUP(Tabla3[[#This Row],[CONTABLE]],'SAPROV (2)'!L:M,2,FALSE)</f>
        <v>#N/A</v>
      </c>
      <c r="H851" t="s">
        <v>588</v>
      </c>
      <c r="I851" s="2" t="str">
        <f>VLOOKUP(Tabla3[[#This Row],[Deposito]],'SAPROV (2)'!D:E,2,FALSE)</f>
        <v>A01</v>
      </c>
      <c r="K851" s="23" t="s">
        <v>23</v>
      </c>
      <c r="L851" s="23" t="str">
        <f>VLOOKUP(Tabla3[[#This Row],[PROVEEDOR]],'SAPROV (2)'!A:B,2,FALSE)</f>
        <v>04</v>
      </c>
      <c r="M851" t="str">
        <f>VLOOKUP(Tabla3[[#This Row],[SERVICIO]],'SAPROV (2)'!I:J,2,FALSE)</f>
        <v>SERV0060</v>
      </c>
      <c r="N851" t="s">
        <v>611</v>
      </c>
      <c r="P851">
        <f>VLOOKUP(Tabla3[[#This Row],[FECHA]],TASA[],2,FALSE)</f>
        <v>330.38</v>
      </c>
      <c r="Q851" s="4">
        <f t="shared" si="105"/>
        <v>-2.7059749379502389E-2</v>
      </c>
      <c r="R851" t="s">
        <v>1465</v>
      </c>
    </row>
    <row r="852" spans="1:18" x14ac:dyDescent="0.25">
      <c r="A852" s="33">
        <v>46035</v>
      </c>
      <c r="B852" s="1">
        <v>73318</v>
      </c>
      <c r="C852" s="2" t="s">
        <v>1309</v>
      </c>
      <c r="D852" s="34">
        <v>-29410.43</v>
      </c>
      <c r="E852" t="s">
        <v>20</v>
      </c>
      <c r="F852" s="2" t="e">
        <f>VLOOKUP(Tabla3[[#This Row],[CONTABLE]],'SAPROV (2)'!L:M,2,FALSE)</f>
        <v>#N/A</v>
      </c>
      <c r="H852" t="s">
        <v>1274</v>
      </c>
      <c r="I852" s="2" t="str">
        <f>VLOOKUP(Tabla3[[#This Row],[Deposito]],'SAPROV (2)'!D:E,2,FALSE)</f>
        <v>02</v>
      </c>
      <c r="K852" s="2" t="s">
        <v>101</v>
      </c>
      <c r="L852" s="23" t="str">
        <f>VLOOKUP(Tabla3[[#This Row],[PROVEEDOR]],'SAPROV (2)'!A:B,2,FALSE)</f>
        <v>36</v>
      </c>
      <c r="M852" t="str">
        <f>VLOOKUP(Tabla3[[#This Row],[SERVICIO]],'SAPROV (2)'!I:J,2,FALSE)</f>
        <v>SERV0011</v>
      </c>
      <c r="N852" t="s">
        <v>927</v>
      </c>
      <c r="P852">
        <f>VLOOKUP(Tabla3[[#This Row],[FECHA]],TASA[],2,FALSE)</f>
        <v>330.38</v>
      </c>
      <c r="Q852" s="4">
        <f t="shared" si="105"/>
        <v>-89.020007264362249</v>
      </c>
      <c r="R852" t="s">
        <v>1465</v>
      </c>
    </row>
    <row r="853" spans="1:18" x14ac:dyDescent="0.25">
      <c r="A853" s="33">
        <v>46035</v>
      </c>
      <c r="B853" s="1">
        <v>73318</v>
      </c>
      <c r="C853" s="2" t="s">
        <v>1310</v>
      </c>
      <c r="D853" s="34">
        <v>-88.23</v>
      </c>
      <c r="E853" t="s">
        <v>20</v>
      </c>
      <c r="F853" s="2" t="e">
        <f>VLOOKUP(Tabla3[[#This Row],[CONTABLE]],'SAPROV (2)'!L:M,2,FALSE)</f>
        <v>#N/A</v>
      </c>
      <c r="H853" t="s">
        <v>588</v>
      </c>
      <c r="I853" s="2" t="str">
        <f>VLOOKUP(Tabla3[[#This Row],[Deposito]],'SAPROV (2)'!D:E,2,FALSE)</f>
        <v>A01</v>
      </c>
      <c r="K853" s="23" t="s">
        <v>23</v>
      </c>
      <c r="L853" s="2" t="str">
        <f>VLOOKUP(Tabla3[[#This Row],[PROVEEDOR]],'SAPROV (2)'!A:B,2,FALSE)</f>
        <v>04</v>
      </c>
      <c r="M853" t="str">
        <f>VLOOKUP(Tabla3[[#This Row],[SERVICIO]],'SAPROV (2)'!I:J,2,FALSE)</f>
        <v>SERV0060</v>
      </c>
      <c r="N853" t="s">
        <v>611</v>
      </c>
      <c r="P853">
        <f>VLOOKUP(Tabla3[[#This Row],[FECHA]],TASA[],2,FALSE)</f>
        <v>330.38</v>
      </c>
      <c r="Q853" s="4">
        <f t="shared" si="105"/>
        <v>-0.26705611719837763</v>
      </c>
      <c r="R853" t="s">
        <v>1465</v>
      </c>
    </row>
    <row r="854" spans="1:18" x14ac:dyDescent="0.25">
      <c r="A854" s="33">
        <v>46035</v>
      </c>
      <c r="B854" s="1">
        <v>73322</v>
      </c>
      <c r="C854" s="2" t="s">
        <v>1311</v>
      </c>
      <c r="D854" s="34">
        <v>-29410.43</v>
      </c>
      <c r="E854" t="s">
        <v>20</v>
      </c>
      <c r="F854" s="2" t="e">
        <f>VLOOKUP(Tabla3[[#This Row],[CONTABLE]],'SAPROV (2)'!L:M,2,FALSE)</f>
        <v>#N/A</v>
      </c>
      <c r="H854" t="s">
        <v>1280</v>
      </c>
      <c r="I854" s="2" t="str">
        <f>VLOOKUP(Tabla3[[#This Row],[Deposito]],'SAPROV (2)'!D:E,2,FALSE)</f>
        <v>01</v>
      </c>
      <c r="K854" s="2" t="s">
        <v>101</v>
      </c>
      <c r="L854" s="23" t="str">
        <f>VLOOKUP(Tabla3[[#This Row],[PROVEEDOR]],'SAPROV (2)'!A:B,2,FALSE)</f>
        <v>36</v>
      </c>
      <c r="M854" t="str">
        <f>VLOOKUP(Tabla3[[#This Row],[SERVICIO]],'SAPROV (2)'!I:J,2,FALSE)</f>
        <v>SERV0011</v>
      </c>
      <c r="N854" t="s">
        <v>927</v>
      </c>
      <c r="P854">
        <f>VLOOKUP(Tabla3[[#This Row],[FECHA]],TASA[],2,FALSE)</f>
        <v>330.38</v>
      </c>
      <c r="Q854" s="4">
        <f t="shared" si="105"/>
        <v>-89.020007264362249</v>
      </c>
      <c r="R854" t="s">
        <v>1465</v>
      </c>
    </row>
    <row r="855" spans="1:18" x14ac:dyDescent="0.25">
      <c r="A855" s="33">
        <v>46035</v>
      </c>
      <c r="B855" s="1">
        <v>73322</v>
      </c>
      <c r="C855" s="2" t="s">
        <v>1312</v>
      </c>
      <c r="D855" s="34">
        <v>-88.23</v>
      </c>
      <c r="E855" t="s">
        <v>20</v>
      </c>
      <c r="F855" s="2" t="e">
        <f>VLOOKUP(Tabla3[[#This Row],[CONTABLE]],'SAPROV (2)'!L:M,2,FALSE)</f>
        <v>#N/A</v>
      </c>
      <c r="H855" t="s">
        <v>588</v>
      </c>
      <c r="I855" s="2" t="str">
        <f>VLOOKUP(Tabla3[[#This Row],[Deposito]],'SAPROV (2)'!D:E,2,FALSE)</f>
        <v>A01</v>
      </c>
      <c r="K855" s="23" t="s">
        <v>23</v>
      </c>
      <c r="L855" s="23" t="str">
        <f>VLOOKUP(Tabla3[[#This Row],[PROVEEDOR]],'SAPROV (2)'!A:B,2,FALSE)</f>
        <v>04</v>
      </c>
      <c r="M855" t="str">
        <f>VLOOKUP(Tabla3[[#This Row],[SERVICIO]],'SAPROV (2)'!I:J,2,FALSE)</f>
        <v>SERV0060</v>
      </c>
      <c r="N855" t="s">
        <v>611</v>
      </c>
      <c r="P855">
        <f>VLOOKUP(Tabla3[[#This Row],[FECHA]],TASA[],2,FALSE)</f>
        <v>330.38</v>
      </c>
      <c r="Q855" s="4">
        <f t="shared" si="105"/>
        <v>-0.26705611719837763</v>
      </c>
      <c r="R855" t="s">
        <v>1465</v>
      </c>
    </row>
    <row r="856" spans="1:18" x14ac:dyDescent="0.25">
      <c r="A856" s="33">
        <v>46035</v>
      </c>
      <c r="B856" s="1">
        <v>73324</v>
      </c>
      <c r="C856" s="2" t="s">
        <v>1313</v>
      </c>
      <c r="D856" s="34">
        <v>-9967.56</v>
      </c>
      <c r="E856" t="s">
        <v>20</v>
      </c>
      <c r="F856" s="2" t="e">
        <f>VLOOKUP(Tabla3[[#This Row],[CONTABLE]],'SAPROV (2)'!L:M,2,FALSE)</f>
        <v>#N/A</v>
      </c>
      <c r="H856" t="s">
        <v>1278</v>
      </c>
      <c r="I856" s="2" t="str">
        <f>VLOOKUP(Tabla3[[#This Row],[Deposito]],'SAPROV (2)'!D:E,2,FALSE)</f>
        <v>06</v>
      </c>
      <c r="K856" s="2" t="s">
        <v>101</v>
      </c>
      <c r="L856" s="2" t="str">
        <f>VLOOKUP(Tabla3[[#This Row],[PROVEEDOR]],'SAPROV (2)'!A:B,2,FALSE)</f>
        <v>36</v>
      </c>
      <c r="M856" t="str">
        <f>VLOOKUP(Tabla3[[#This Row],[SERVICIO]],'SAPROV (2)'!I:J,2,FALSE)</f>
        <v>SERV0011</v>
      </c>
      <c r="N856" t="s">
        <v>927</v>
      </c>
      <c r="P856">
        <f>VLOOKUP(Tabla3[[#This Row],[FECHA]],TASA[],2,FALSE)</f>
        <v>330.38</v>
      </c>
      <c r="Q856" s="4">
        <f t="shared" si="105"/>
        <v>-30.16998607663902</v>
      </c>
      <c r="R856" t="s">
        <v>1465</v>
      </c>
    </row>
    <row r="857" spans="1:18" x14ac:dyDescent="0.25">
      <c r="A857" s="33">
        <v>46035</v>
      </c>
      <c r="B857" s="1">
        <v>73324</v>
      </c>
      <c r="C857" s="2" t="s">
        <v>1314</v>
      </c>
      <c r="D857" s="34">
        <v>-29.9</v>
      </c>
      <c r="E857" t="s">
        <v>20</v>
      </c>
      <c r="F857" s="2" t="e">
        <f>VLOOKUP(Tabla3[[#This Row],[CONTABLE]],'SAPROV (2)'!L:M,2,FALSE)</f>
        <v>#N/A</v>
      </c>
      <c r="H857" t="s">
        <v>588</v>
      </c>
      <c r="I857" s="2" t="str">
        <f>VLOOKUP(Tabla3[[#This Row],[Deposito]],'SAPROV (2)'!D:E,2,FALSE)</f>
        <v>A01</v>
      </c>
      <c r="K857" s="23" t="s">
        <v>23</v>
      </c>
      <c r="L857" s="23" t="str">
        <f>VLOOKUP(Tabla3[[#This Row],[PROVEEDOR]],'SAPROV (2)'!A:B,2,FALSE)</f>
        <v>04</v>
      </c>
      <c r="M857" t="str">
        <f>VLOOKUP(Tabla3[[#This Row],[SERVICIO]],'SAPROV (2)'!I:J,2,FALSE)</f>
        <v>SERV0060</v>
      </c>
      <c r="N857" t="s">
        <v>611</v>
      </c>
      <c r="P857">
        <f>VLOOKUP(Tabla3[[#This Row],[FECHA]],TASA[],2,FALSE)</f>
        <v>330.38</v>
      </c>
      <c r="Q857" s="4">
        <f t="shared" si="105"/>
        <v>-9.0501846358738425E-2</v>
      </c>
      <c r="R857" t="s">
        <v>1465</v>
      </c>
    </row>
    <row r="858" spans="1:18" x14ac:dyDescent="0.25">
      <c r="A858" s="33">
        <v>46035</v>
      </c>
      <c r="B858" s="1">
        <v>73329</v>
      </c>
      <c r="C858" s="2" t="s">
        <v>1315</v>
      </c>
      <c r="D858" s="34">
        <v>-29410.43</v>
      </c>
      <c r="E858" t="s">
        <v>20</v>
      </c>
      <c r="F858" s="2" t="e">
        <f>VLOOKUP(Tabla3[[#This Row],[CONTABLE]],'SAPROV (2)'!L:M,2,FALSE)</f>
        <v>#N/A</v>
      </c>
      <c r="H858" t="s">
        <v>1274</v>
      </c>
      <c r="I858" s="2" t="str">
        <f>VLOOKUP(Tabla3[[#This Row],[Deposito]],'SAPROV (2)'!D:E,2,FALSE)</f>
        <v>02</v>
      </c>
      <c r="K858" s="2" t="s">
        <v>101</v>
      </c>
      <c r="L858" s="23" t="str">
        <f>VLOOKUP(Tabla3[[#This Row],[PROVEEDOR]],'SAPROV (2)'!A:B,2,FALSE)</f>
        <v>36</v>
      </c>
      <c r="M858" t="str">
        <f>VLOOKUP(Tabla3[[#This Row],[SERVICIO]],'SAPROV (2)'!I:J,2,FALSE)</f>
        <v>SERV0011</v>
      </c>
      <c r="N858" t="s">
        <v>927</v>
      </c>
      <c r="P858">
        <f>VLOOKUP(Tabla3[[#This Row],[FECHA]],TASA[],2,FALSE)</f>
        <v>330.38</v>
      </c>
      <c r="Q858" s="4">
        <f t="shared" si="105"/>
        <v>-89.020007264362249</v>
      </c>
      <c r="R858" t="s">
        <v>1465</v>
      </c>
    </row>
    <row r="859" spans="1:18" x14ac:dyDescent="0.25">
      <c r="A859" s="33">
        <v>46035</v>
      </c>
      <c r="B859" s="1">
        <v>73329</v>
      </c>
      <c r="C859" s="2" t="s">
        <v>1316</v>
      </c>
      <c r="D859" s="34">
        <v>-88.23</v>
      </c>
      <c r="E859" t="s">
        <v>20</v>
      </c>
      <c r="F859" s="2" t="e">
        <f>VLOOKUP(Tabla3[[#This Row],[CONTABLE]],'SAPROV (2)'!L:M,2,FALSE)</f>
        <v>#N/A</v>
      </c>
      <c r="H859" t="s">
        <v>588</v>
      </c>
      <c r="I859" s="2" t="str">
        <f>VLOOKUP(Tabla3[[#This Row],[Deposito]],'SAPROV (2)'!D:E,2,FALSE)</f>
        <v>A01</v>
      </c>
      <c r="K859" s="23" t="s">
        <v>23</v>
      </c>
      <c r="L859" s="2" t="str">
        <f>VLOOKUP(Tabla3[[#This Row],[PROVEEDOR]],'SAPROV (2)'!A:B,2,FALSE)</f>
        <v>04</v>
      </c>
      <c r="M859" t="str">
        <f>VLOOKUP(Tabla3[[#This Row],[SERVICIO]],'SAPROV (2)'!I:J,2,FALSE)</f>
        <v>SERV0060</v>
      </c>
      <c r="N859" t="s">
        <v>611</v>
      </c>
      <c r="P859">
        <f>VLOOKUP(Tabla3[[#This Row],[FECHA]],TASA[],2,FALSE)</f>
        <v>330.38</v>
      </c>
      <c r="Q859" s="4">
        <f t="shared" si="105"/>
        <v>-0.26705611719837763</v>
      </c>
      <c r="R859" t="s">
        <v>1465</v>
      </c>
    </row>
    <row r="860" spans="1:18" x14ac:dyDescent="0.25">
      <c r="A860" s="33">
        <v>46035</v>
      </c>
      <c r="B860" s="1">
        <v>73331</v>
      </c>
      <c r="C860" s="2" t="s">
        <v>1317</v>
      </c>
      <c r="D860" s="34">
        <v>-21699.360000000001</v>
      </c>
      <c r="E860" t="s">
        <v>20</v>
      </c>
      <c r="F860" s="2" t="e">
        <f>VLOOKUP(Tabla3[[#This Row],[CONTABLE]],'SAPROV (2)'!L:M,2,FALSE)</f>
        <v>#N/A</v>
      </c>
      <c r="H860" t="s">
        <v>1281</v>
      </c>
      <c r="I860" s="2" t="str">
        <f>VLOOKUP(Tabla3[[#This Row],[Deposito]],'SAPROV (2)'!D:E,2,FALSE)</f>
        <v>07</v>
      </c>
      <c r="K860" s="2" t="s">
        <v>101</v>
      </c>
      <c r="L860" s="23" t="str">
        <f>VLOOKUP(Tabla3[[#This Row],[PROVEEDOR]],'SAPROV (2)'!A:B,2,FALSE)</f>
        <v>36</v>
      </c>
      <c r="M860" t="str">
        <f>VLOOKUP(Tabla3[[#This Row],[SERVICIO]],'SAPROV (2)'!I:J,2,FALSE)</f>
        <v>SERV0011</v>
      </c>
      <c r="N860" t="s">
        <v>927</v>
      </c>
      <c r="P860">
        <f>VLOOKUP(Tabla3[[#This Row],[FECHA]],TASA[],2,FALSE)</f>
        <v>330.38</v>
      </c>
      <c r="Q860" s="4">
        <f t="shared" si="105"/>
        <v>-65.680004842908176</v>
      </c>
      <c r="R860" t="s">
        <v>1465</v>
      </c>
    </row>
    <row r="861" spans="1:18" x14ac:dyDescent="0.25">
      <c r="A861" s="33">
        <v>46035</v>
      </c>
      <c r="B861" s="1">
        <v>73331</v>
      </c>
      <c r="C861" s="2" t="s">
        <v>1318</v>
      </c>
      <c r="D861" s="34">
        <v>-65.099999999999994</v>
      </c>
      <c r="E861" t="s">
        <v>20</v>
      </c>
      <c r="F861" s="2" t="e">
        <f>VLOOKUP(Tabla3[[#This Row],[CONTABLE]],'SAPROV (2)'!L:M,2,FALSE)</f>
        <v>#N/A</v>
      </c>
      <c r="H861" t="s">
        <v>588</v>
      </c>
      <c r="I861" s="2" t="str">
        <f>VLOOKUP(Tabla3[[#This Row],[Deposito]],'SAPROV (2)'!D:E,2,FALSE)</f>
        <v>A01</v>
      </c>
      <c r="K861" s="23" t="s">
        <v>23</v>
      </c>
      <c r="L861" s="23" t="str">
        <f>VLOOKUP(Tabla3[[#This Row],[PROVEEDOR]],'SAPROV (2)'!A:B,2,FALSE)</f>
        <v>04</v>
      </c>
      <c r="M861" t="str">
        <f>VLOOKUP(Tabla3[[#This Row],[SERVICIO]],'SAPROV (2)'!I:J,2,FALSE)</f>
        <v>SERV0060</v>
      </c>
      <c r="N861" t="s">
        <v>611</v>
      </c>
      <c r="P861">
        <f>VLOOKUP(Tabla3[[#This Row],[FECHA]],TASA[],2,FALSE)</f>
        <v>330.38</v>
      </c>
      <c r="Q861" s="4">
        <f t="shared" si="105"/>
        <v>-0.19704582601852411</v>
      </c>
      <c r="R861" t="s">
        <v>1465</v>
      </c>
    </row>
    <row r="862" spans="1:18" x14ac:dyDescent="0.25">
      <c r="A862" s="33">
        <v>46035</v>
      </c>
      <c r="B862" s="1">
        <v>73336</v>
      </c>
      <c r="C862" s="2" t="s">
        <v>1319</v>
      </c>
      <c r="D862" s="34">
        <v>-29410.43</v>
      </c>
      <c r="E862" t="s">
        <v>20</v>
      </c>
      <c r="F862" s="2" t="e">
        <f>VLOOKUP(Tabla3[[#This Row],[CONTABLE]],'SAPROV (2)'!L:M,2,FALSE)</f>
        <v>#N/A</v>
      </c>
      <c r="H862" t="s">
        <v>1274</v>
      </c>
      <c r="I862" s="2" t="str">
        <f>VLOOKUP(Tabla3[[#This Row],[Deposito]],'SAPROV (2)'!D:E,2,FALSE)</f>
        <v>02</v>
      </c>
      <c r="K862" s="2" t="s">
        <v>101</v>
      </c>
      <c r="L862" s="2" t="str">
        <f>VLOOKUP(Tabla3[[#This Row],[PROVEEDOR]],'SAPROV (2)'!A:B,2,FALSE)</f>
        <v>36</v>
      </c>
      <c r="M862" t="str">
        <f>VLOOKUP(Tabla3[[#This Row],[SERVICIO]],'SAPROV (2)'!I:J,2,FALSE)</f>
        <v>SERV0011</v>
      </c>
      <c r="N862" t="s">
        <v>927</v>
      </c>
      <c r="P862">
        <f>VLOOKUP(Tabla3[[#This Row],[FECHA]],TASA[],2,FALSE)</f>
        <v>330.38</v>
      </c>
      <c r="Q862" s="4">
        <f t="shared" si="105"/>
        <v>-89.020007264362249</v>
      </c>
      <c r="R862" t="s">
        <v>1465</v>
      </c>
    </row>
    <row r="863" spans="1:18" x14ac:dyDescent="0.25">
      <c r="A863" s="33">
        <v>46035</v>
      </c>
      <c r="B863" s="1">
        <v>73336</v>
      </c>
      <c r="C863" s="2" t="s">
        <v>1320</v>
      </c>
      <c r="D863" s="34">
        <v>-88.23</v>
      </c>
      <c r="E863" t="s">
        <v>20</v>
      </c>
      <c r="F863" s="2" t="e">
        <f>VLOOKUP(Tabla3[[#This Row],[CONTABLE]],'SAPROV (2)'!L:M,2,FALSE)</f>
        <v>#N/A</v>
      </c>
      <c r="H863" t="s">
        <v>588</v>
      </c>
      <c r="I863" s="2" t="str">
        <f>VLOOKUP(Tabla3[[#This Row],[Deposito]],'SAPROV (2)'!D:E,2,FALSE)</f>
        <v>A01</v>
      </c>
      <c r="K863" s="23" t="s">
        <v>23</v>
      </c>
      <c r="L863" s="23" t="str">
        <f>VLOOKUP(Tabla3[[#This Row],[PROVEEDOR]],'SAPROV (2)'!A:B,2,FALSE)</f>
        <v>04</v>
      </c>
      <c r="M863" t="str">
        <f>VLOOKUP(Tabla3[[#This Row],[SERVICIO]],'SAPROV (2)'!I:J,2,FALSE)</f>
        <v>SERV0060</v>
      </c>
      <c r="N863" t="s">
        <v>611</v>
      </c>
      <c r="P863">
        <f>VLOOKUP(Tabla3[[#This Row],[FECHA]],TASA[],2,FALSE)</f>
        <v>330.38</v>
      </c>
      <c r="Q863" s="4">
        <f t="shared" si="105"/>
        <v>-0.26705611719837763</v>
      </c>
      <c r="R863" t="s">
        <v>1465</v>
      </c>
    </row>
    <row r="864" spans="1:18" x14ac:dyDescent="0.25">
      <c r="A864" s="33">
        <v>46035</v>
      </c>
      <c r="B864" s="1">
        <v>73339</v>
      </c>
      <c r="C864" s="2" t="s">
        <v>1321</v>
      </c>
      <c r="D864" s="34">
        <v>-55840.83</v>
      </c>
      <c r="E864" t="s">
        <v>20</v>
      </c>
      <c r="F864" s="2" t="e">
        <f>VLOOKUP(Tabla3[[#This Row],[CONTABLE]],'SAPROV (2)'!L:M,2,FALSE)</f>
        <v>#N/A</v>
      </c>
      <c r="H864" t="s">
        <v>1281</v>
      </c>
      <c r="I864" s="2" t="str">
        <f>VLOOKUP(Tabla3[[#This Row],[Deposito]],'SAPROV (2)'!D:E,2,FALSE)</f>
        <v>07</v>
      </c>
      <c r="K864" s="2" t="s">
        <v>101</v>
      </c>
      <c r="L864" s="23" t="str">
        <f>VLOOKUP(Tabla3[[#This Row],[PROVEEDOR]],'SAPROV (2)'!A:B,2,FALSE)</f>
        <v>36</v>
      </c>
      <c r="M864" t="str">
        <f>VLOOKUP(Tabla3[[#This Row],[SERVICIO]],'SAPROV (2)'!I:J,2,FALSE)</f>
        <v>SERV0011</v>
      </c>
      <c r="N864" t="s">
        <v>927</v>
      </c>
      <c r="P864">
        <f>VLOOKUP(Tabla3[[#This Row],[FECHA]],TASA[],2,FALSE)</f>
        <v>330.38</v>
      </c>
      <c r="Q864" s="4">
        <f t="shared" si="105"/>
        <v>-169.02000726436225</v>
      </c>
      <c r="R864" t="s">
        <v>1465</v>
      </c>
    </row>
    <row r="865" spans="1:18" x14ac:dyDescent="0.25">
      <c r="A865" s="33">
        <v>46035</v>
      </c>
      <c r="B865" s="1">
        <v>73339</v>
      </c>
      <c r="C865" s="2" t="s">
        <v>1322</v>
      </c>
      <c r="D865" s="34">
        <v>-167.52</v>
      </c>
      <c r="E865" t="s">
        <v>20</v>
      </c>
      <c r="F865" s="2" t="e">
        <f>VLOOKUP(Tabla3[[#This Row],[CONTABLE]],'SAPROV (2)'!L:M,2,FALSE)</f>
        <v>#N/A</v>
      </c>
      <c r="H865" t="s">
        <v>588</v>
      </c>
      <c r="I865" s="2" t="str">
        <f>VLOOKUP(Tabla3[[#This Row],[Deposito]],'SAPROV (2)'!D:E,2,FALSE)</f>
        <v>A01</v>
      </c>
      <c r="K865" s="23" t="s">
        <v>23</v>
      </c>
      <c r="L865" s="2" t="str">
        <f>VLOOKUP(Tabla3[[#This Row],[PROVEEDOR]],'SAPROV (2)'!A:B,2,FALSE)</f>
        <v>04</v>
      </c>
      <c r="M865" t="str">
        <f>VLOOKUP(Tabla3[[#This Row],[SERVICIO]],'SAPROV (2)'!I:J,2,FALSE)</f>
        <v>SERV0060</v>
      </c>
      <c r="N865" t="s">
        <v>611</v>
      </c>
      <c r="P865">
        <f>VLOOKUP(Tabla3[[#This Row],[FECHA]],TASA[],2,FALSE)</f>
        <v>330.38</v>
      </c>
      <c r="Q865" s="4">
        <f t="shared" si="105"/>
        <v>-0.50705248501725286</v>
      </c>
      <c r="R865" t="s">
        <v>1465</v>
      </c>
    </row>
    <row r="866" spans="1:18" x14ac:dyDescent="0.25">
      <c r="A866" s="33">
        <v>46035</v>
      </c>
      <c r="B866" s="1">
        <v>73347</v>
      </c>
      <c r="C866" s="2" t="s">
        <v>1323</v>
      </c>
      <c r="D866" s="34">
        <v>-28432.5</v>
      </c>
      <c r="E866" t="s">
        <v>20</v>
      </c>
      <c r="F866" s="2" t="e">
        <f>VLOOKUP(Tabla3[[#This Row],[CONTABLE]],'SAPROV (2)'!L:M,2,FALSE)</f>
        <v>#N/A</v>
      </c>
      <c r="H866" t="s">
        <v>1281</v>
      </c>
      <c r="I866" s="2" t="str">
        <f>VLOOKUP(Tabla3[[#This Row],[Deposito]],'SAPROV (2)'!D:E,2,FALSE)</f>
        <v>07</v>
      </c>
      <c r="K866" s="2" t="s">
        <v>101</v>
      </c>
      <c r="L866" s="23" t="str">
        <f>VLOOKUP(Tabla3[[#This Row],[PROVEEDOR]],'SAPROV (2)'!A:B,2,FALSE)</f>
        <v>36</v>
      </c>
      <c r="M866" t="str">
        <f>VLOOKUP(Tabla3[[#This Row],[SERVICIO]],'SAPROV (2)'!I:J,2,FALSE)</f>
        <v>SERV0011</v>
      </c>
      <c r="N866" t="s">
        <v>927</v>
      </c>
      <c r="P866">
        <f>VLOOKUP(Tabla3[[#This Row],[FECHA]],TASA[],2,FALSE)</f>
        <v>330.38</v>
      </c>
      <c r="Q866" s="4">
        <f t="shared" si="105"/>
        <v>-86.059991524910714</v>
      </c>
      <c r="R866" t="s">
        <v>1465</v>
      </c>
    </row>
    <row r="867" spans="1:18" x14ac:dyDescent="0.25">
      <c r="A867" s="33">
        <v>46035</v>
      </c>
      <c r="B867" s="1">
        <v>73347</v>
      </c>
      <c r="C867" s="2" t="s">
        <v>1324</v>
      </c>
      <c r="D867" s="34">
        <v>-85.3</v>
      </c>
      <c r="E867" t="s">
        <v>20</v>
      </c>
      <c r="F867" s="2" t="e">
        <f>VLOOKUP(Tabla3[[#This Row],[CONTABLE]],'SAPROV (2)'!L:M,2,FALSE)</f>
        <v>#N/A</v>
      </c>
      <c r="H867" t="s">
        <v>588</v>
      </c>
      <c r="I867" s="2" t="str">
        <f>VLOOKUP(Tabla3[[#This Row],[Deposito]],'SAPROV (2)'!D:E,2,FALSE)</f>
        <v>A01</v>
      </c>
      <c r="K867" s="23" t="s">
        <v>23</v>
      </c>
      <c r="L867" s="23" t="str">
        <f>VLOOKUP(Tabla3[[#This Row],[PROVEEDOR]],'SAPROV (2)'!A:B,2,FALSE)</f>
        <v>04</v>
      </c>
      <c r="M867" t="str">
        <f>VLOOKUP(Tabla3[[#This Row],[SERVICIO]],'SAPROV (2)'!I:J,2,FALSE)</f>
        <v>SERV0060</v>
      </c>
      <c r="N867" t="s">
        <v>611</v>
      </c>
      <c r="P867">
        <f>VLOOKUP(Tabla3[[#This Row],[FECHA]],TASA[],2,FALSE)</f>
        <v>330.38</v>
      </c>
      <c r="Q867" s="4">
        <f t="shared" si="105"/>
        <v>-0.25818754161874202</v>
      </c>
      <c r="R867" t="s">
        <v>1465</v>
      </c>
    </row>
    <row r="868" spans="1:18" x14ac:dyDescent="0.25">
      <c r="A868" s="33">
        <v>46035</v>
      </c>
      <c r="B868" s="1">
        <v>73349</v>
      </c>
      <c r="C868" s="2" t="s">
        <v>1325</v>
      </c>
      <c r="D868" s="34">
        <v>-56927.78</v>
      </c>
      <c r="E868" t="s">
        <v>20</v>
      </c>
      <c r="F868" s="2" t="e">
        <f>VLOOKUP(Tabla3[[#This Row],[CONTABLE]],'SAPROV (2)'!L:M,2,FALSE)</f>
        <v>#N/A</v>
      </c>
      <c r="H868" t="s">
        <v>1281</v>
      </c>
      <c r="I868" s="2" t="str">
        <f>VLOOKUP(Tabla3[[#This Row],[Deposito]],'SAPROV (2)'!D:E,2,FALSE)</f>
        <v>07</v>
      </c>
      <c r="K868" s="2" t="s">
        <v>101</v>
      </c>
      <c r="L868" s="2" t="str">
        <f>VLOOKUP(Tabla3[[#This Row],[PROVEEDOR]],'SAPROV (2)'!A:B,2,FALSE)</f>
        <v>36</v>
      </c>
      <c r="M868" t="str">
        <f>VLOOKUP(Tabla3[[#This Row],[SERVICIO]],'SAPROV (2)'!I:J,2,FALSE)</f>
        <v>SERV0011</v>
      </c>
      <c r="N868" t="s">
        <v>927</v>
      </c>
      <c r="P868">
        <f>VLOOKUP(Tabla3[[#This Row],[FECHA]],TASA[],2,FALSE)</f>
        <v>330.38</v>
      </c>
      <c r="Q868" s="4">
        <f t="shared" si="105"/>
        <v>-172.31000665899873</v>
      </c>
      <c r="R868" t="s">
        <v>1465</v>
      </c>
    </row>
    <row r="869" spans="1:18" x14ac:dyDescent="0.25">
      <c r="A869" s="33">
        <v>46035</v>
      </c>
      <c r="B869" s="1">
        <v>73349</v>
      </c>
      <c r="C869" s="2" t="s">
        <v>1326</v>
      </c>
      <c r="D869" s="34">
        <v>-170.78</v>
      </c>
      <c r="E869" t="s">
        <v>20</v>
      </c>
      <c r="F869" s="2" t="e">
        <f>VLOOKUP(Tabla3[[#This Row],[CONTABLE]],'SAPROV (2)'!L:M,2,FALSE)</f>
        <v>#N/A</v>
      </c>
      <c r="H869" t="s">
        <v>588</v>
      </c>
      <c r="I869" s="2" t="str">
        <f>VLOOKUP(Tabla3[[#This Row],[Deposito]],'SAPROV (2)'!D:E,2,FALSE)</f>
        <v>A01</v>
      </c>
      <c r="K869" s="23" t="s">
        <v>23</v>
      </c>
      <c r="L869" s="23" t="str">
        <f>VLOOKUP(Tabla3[[#This Row],[PROVEEDOR]],'SAPROV (2)'!A:B,2,FALSE)</f>
        <v>04</v>
      </c>
      <c r="M869" t="str">
        <f>VLOOKUP(Tabla3[[#This Row],[SERVICIO]],'SAPROV (2)'!I:J,2,FALSE)</f>
        <v>SERV0060</v>
      </c>
      <c r="N869" t="s">
        <v>611</v>
      </c>
      <c r="P869">
        <f>VLOOKUP(Tabla3[[#This Row],[FECHA]],TASA[],2,FALSE)</f>
        <v>330.38</v>
      </c>
      <c r="Q869" s="4">
        <f t="shared" si="105"/>
        <v>-0.51691991040619889</v>
      </c>
      <c r="R869" t="s">
        <v>1465</v>
      </c>
    </row>
    <row r="870" spans="1:18" x14ac:dyDescent="0.25">
      <c r="A870" s="33">
        <v>46035</v>
      </c>
      <c r="B870" s="1">
        <v>73353</v>
      </c>
      <c r="C870" s="2" t="s">
        <v>1327</v>
      </c>
      <c r="D870" s="34">
        <v>-29410.43</v>
      </c>
      <c r="E870" t="s">
        <v>20</v>
      </c>
      <c r="F870" s="2" t="e">
        <f>VLOOKUP(Tabla3[[#This Row],[CONTABLE]],'SAPROV (2)'!L:M,2,FALSE)</f>
        <v>#N/A</v>
      </c>
      <c r="H870" t="s">
        <v>1274</v>
      </c>
      <c r="I870" s="2" t="str">
        <f>VLOOKUP(Tabla3[[#This Row],[Deposito]],'SAPROV (2)'!D:E,2,FALSE)</f>
        <v>02</v>
      </c>
      <c r="K870" s="2" t="s">
        <v>101</v>
      </c>
      <c r="L870" s="23" t="str">
        <f>VLOOKUP(Tabla3[[#This Row],[PROVEEDOR]],'SAPROV (2)'!A:B,2,FALSE)</f>
        <v>36</v>
      </c>
      <c r="M870" t="str">
        <f>VLOOKUP(Tabla3[[#This Row],[SERVICIO]],'SAPROV (2)'!I:J,2,FALSE)</f>
        <v>SERV0011</v>
      </c>
      <c r="N870" t="s">
        <v>927</v>
      </c>
      <c r="P870">
        <f>VLOOKUP(Tabla3[[#This Row],[FECHA]],TASA[],2,FALSE)</f>
        <v>330.38</v>
      </c>
      <c r="Q870" s="4">
        <f t="shared" si="105"/>
        <v>-89.020007264362249</v>
      </c>
      <c r="R870" t="s">
        <v>1465</v>
      </c>
    </row>
    <row r="871" spans="1:18" x14ac:dyDescent="0.25">
      <c r="A871" s="33">
        <v>46035</v>
      </c>
      <c r="B871" s="1">
        <v>73353</v>
      </c>
      <c r="C871" s="2" t="s">
        <v>1328</v>
      </c>
      <c r="D871" s="34">
        <v>-88.23</v>
      </c>
      <c r="E871" t="s">
        <v>20</v>
      </c>
      <c r="F871" s="2" t="e">
        <f>VLOOKUP(Tabla3[[#This Row],[CONTABLE]],'SAPROV (2)'!L:M,2,FALSE)</f>
        <v>#N/A</v>
      </c>
      <c r="H871" t="s">
        <v>588</v>
      </c>
      <c r="I871" s="2" t="str">
        <f>VLOOKUP(Tabla3[[#This Row],[Deposito]],'SAPROV (2)'!D:E,2,FALSE)</f>
        <v>A01</v>
      </c>
      <c r="K871" s="23" t="s">
        <v>23</v>
      </c>
      <c r="L871" s="2" t="str">
        <f>VLOOKUP(Tabla3[[#This Row],[PROVEEDOR]],'SAPROV (2)'!A:B,2,FALSE)</f>
        <v>04</v>
      </c>
      <c r="M871" t="str">
        <f>VLOOKUP(Tabla3[[#This Row],[SERVICIO]],'SAPROV (2)'!I:J,2,FALSE)</f>
        <v>SERV0060</v>
      </c>
      <c r="N871" t="s">
        <v>611</v>
      </c>
      <c r="P871">
        <f>VLOOKUP(Tabla3[[#This Row],[FECHA]],TASA[],2,FALSE)</f>
        <v>330.38</v>
      </c>
      <c r="Q871" s="4">
        <f t="shared" si="105"/>
        <v>-0.26705611719837763</v>
      </c>
      <c r="R871" t="s">
        <v>1465</v>
      </c>
    </row>
    <row r="872" spans="1:18" x14ac:dyDescent="0.25">
      <c r="A872" s="33">
        <v>46035</v>
      </c>
      <c r="B872" s="1">
        <v>73357</v>
      </c>
      <c r="C872" s="2" t="s">
        <v>1329</v>
      </c>
      <c r="D872" s="34">
        <v>-29410.43</v>
      </c>
      <c r="E872" t="s">
        <v>20</v>
      </c>
      <c r="F872" s="2" t="e">
        <f>VLOOKUP(Tabla3[[#This Row],[CONTABLE]],'SAPROV (2)'!L:M,2,FALSE)</f>
        <v>#N/A</v>
      </c>
      <c r="H872" t="s">
        <v>1281</v>
      </c>
      <c r="I872" s="2" t="str">
        <f>VLOOKUP(Tabla3[[#This Row],[Deposito]],'SAPROV (2)'!D:E,2,FALSE)</f>
        <v>07</v>
      </c>
      <c r="K872" s="2" t="s">
        <v>101</v>
      </c>
      <c r="L872" s="23" t="str">
        <f>VLOOKUP(Tabla3[[#This Row],[PROVEEDOR]],'SAPROV (2)'!A:B,2,FALSE)</f>
        <v>36</v>
      </c>
      <c r="M872" t="str">
        <f>VLOOKUP(Tabla3[[#This Row],[SERVICIO]],'SAPROV (2)'!I:J,2,FALSE)</f>
        <v>SERV0011</v>
      </c>
      <c r="N872" t="s">
        <v>927</v>
      </c>
      <c r="P872">
        <f>VLOOKUP(Tabla3[[#This Row],[FECHA]],TASA[],2,FALSE)</f>
        <v>330.38</v>
      </c>
      <c r="Q872" s="4">
        <f t="shared" si="105"/>
        <v>-89.020007264362249</v>
      </c>
      <c r="R872" t="s">
        <v>1465</v>
      </c>
    </row>
    <row r="873" spans="1:18" x14ac:dyDescent="0.25">
      <c r="A873" s="33">
        <v>46035</v>
      </c>
      <c r="B873" s="1">
        <v>73357</v>
      </c>
      <c r="C873" s="2" t="s">
        <v>1330</v>
      </c>
      <c r="D873" s="34">
        <v>-88.23</v>
      </c>
      <c r="E873" t="s">
        <v>20</v>
      </c>
      <c r="F873" s="2" t="e">
        <f>VLOOKUP(Tabla3[[#This Row],[CONTABLE]],'SAPROV (2)'!L:M,2,FALSE)</f>
        <v>#N/A</v>
      </c>
      <c r="H873" t="s">
        <v>588</v>
      </c>
      <c r="I873" s="2" t="str">
        <f>VLOOKUP(Tabla3[[#This Row],[Deposito]],'SAPROV (2)'!D:E,2,FALSE)</f>
        <v>A01</v>
      </c>
      <c r="K873" s="23" t="s">
        <v>23</v>
      </c>
      <c r="L873" s="23" t="str">
        <f>VLOOKUP(Tabla3[[#This Row],[PROVEEDOR]],'SAPROV (2)'!A:B,2,FALSE)</f>
        <v>04</v>
      </c>
      <c r="M873" t="str">
        <f>VLOOKUP(Tabla3[[#This Row],[SERVICIO]],'SAPROV (2)'!I:J,2,FALSE)</f>
        <v>SERV0060</v>
      </c>
      <c r="N873" t="s">
        <v>611</v>
      </c>
      <c r="P873">
        <f>VLOOKUP(Tabla3[[#This Row],[FECHA]],TASA[],2,FALSE)</f>
        <v>330.38</v>
      </c>
      <c r="Q873" s="4">
        <f t="shared" si="105"/>
        <v>-0.26705611719837763</v>
      </c>
      <c r="R873" t="s">
        <v>1465</v>
      </c>
    </row>
    <row r="874" spans="1:18" x14ac:dyDescent="0.25">
      <c r="A874" s="33">
        <v>46035</v>
      </c>
      <c r="B874" s="1">
        <v>73359</v>
      </c>
      <c r="C874" s="2" t="s">
        <v>1331</v>
      </c>
      <c r="D874" s="34">
        <v>-53085.46</v>
      </c>
      <c r="E874" t="s">
        <v>20</v>
      </c>
      <c r="F874" s="2" t="e">
        <f>VLOOKUP(Tabla3[[#This Row],[CONTABLE]],'SAPROV (2)'!L:M,2,FALSE)</f>
        <v>#N/A</v>
      </c>
      <c r="H874" t="s">
        <v>1281</v>
      </c>
      <c r="I874" s="2" t="str">
        <f>VLOOKUP(Tabla3[[#This Row],[Deposito]],'SAPROV (2)'!D:E,2,FALSE)</f>
        <v>07</v>
      </c>
      <c r="K874" s="2" t="s">
        <v>101</v>
      </c>
      <c r="L874" s="2" t="str">
        <f>VLOOKUP(Tabla3[[#This Row],[PROVEEDOR]],'SAPROV (2)'!A:B,2,FALSE)</f>
        <v>36</v>
      </c>
      <c r="M874" t="str">
        <f>VLOOKUP(Tabla3[[#This Row],[SERVICIO]],'SAPROV (2)'!I:J,2,FALSE)</f>
        <v>SERV0011</v>
      </c>
      <c r="N874" t="s">
        <v>927</v>
      </c>
      <c r="P874">
        <f>VLOOKUP(Tabla3[[#This Row],[FECHA]],TASA[],2,FALSE)</f>
        <v>330.38</v>
      </c>
      <c r="Q874" s="4">
        <f t="shared" si="105"/>
        <v>-160.68000484290818</v>
      </c>
      <c r="R874" t="s">
        <v>1465</v>
      </c>
    </row>
    <row r="875" spans="1:18" x14ac:dyDescent="0.25">
      <c r="A875" s="33">
        <v>46035</v>
      </c>
      <c r="B875" s="1">
        <v>73359</v>
      </c>
      <c r="C875" s="2" t="s">
        <v>1332</v>
      </c>
      <c r="D875" s="34">
        <v>-159.26</v>
      </c>
      <c r="E875" t="s">
        <v>20</v>
      </c>
      <c r="F875" s="2" t="e">
        <f>VLOOKUP(Tabla3[[#This Row],[CONTABLE]],'SAPROV (2)'!L:M,2,FALSE)</f>
        <v>#N/A</v>
      </c>
      <c r="H875" t="s">
        <v>588</v>
      </c>
      <c r="I875" s="2" t="str">
        <f>VLOOKUP(Tabla3[[#This Row],[Deposito]],'SAPROV (2)'!D:E,2,FALSE)</f>
        <v>A01</v>
      </c>
      <c r="K875" s="23" t="s">
        <v>23</v>
      </c>
      <c r="L875" s="23" t="str">
        <f>VLOOKUP(Tabla3[[#This Row],[PROVEEDOR]],'SAPROV (2)'!A:B,2,FALSE)</f>
        <v>04</v>
      </c>
      <c r="M875" t="str">
        <f>VLOOKUP(Tabla3[[#This Row],[SERVICIO]],'SAPROV (2)'!I:J,2,FALSE)</f>
        <v>SERV0060</v>
      </c>
      <c r="N875" t="s">
        <v>611</v>
      </c>
      <c r="P875">
        <f>VLOOKUP(Tabla3[[#This Row],[FECHA]],TASA[],2,FALSE)</f>
        <v>330.38</v>
      </c>
      <c r="Q875" s="4">
        <f t="shared" si="105"/>
        <v>-0.48205097160845084</v>
      </c>
      <c r="R875" t="s">
        <v>1465</v>
      </c>
    </row>
    <row r="876" spans="1:18" x14ac:dyDescent="0.25">
      <c r="A876" s="33">
        <v>46035</v>
      </c>
      <c r="B876" s="1">
        <v>73365</v>
      </c>
      <c r="C876" s="2" t="s">
        <v>1333</v>
      </c>
      <c r="D876" s="34">
        <v>-112005.43</v>
      </c>
      <c r="E876" t="s">
        <v>20</v>
      </c>
      <c r="F876" s="2" t="e">
        <f>VLOOKUP(Tabla3[[#This Row],[CONTABLE]],'SAPROV (2)'!L:M,2,FALSE)</f>
        <v>#N/A</v>
      </c>
      <c r="H876" t="s">
        <v>1281</v>
      </c>
      <c r="I876" s="2" t="str">
        <f>VLOOKUP(Tabla3[[#This Row],[Deposito]],'SAPROV (2)'!D:E,2,FALSE)</f>
        <v>07</v>
      </c>
      <c r="K876" s="2" t="s">
        <v>101</v>
      </c>
      <c r="L876" s="23" t="str">
        <f>VLOOKUP(Tabla3[[#This Row],[PROVEEDOR]],'SAPROV (2)'!A:B,2,FALSE)</f>
        <v>36</v>
      </c>
      <c r="M876" t="str">
        <f>VLOOKUP(Tabla3[[#This Row],[SERVICIO]],'SAPROV (2)'!I:J,2,FALSE)</f>
        <v>SERV0011</v>
      </c>
      <c r="N876" t="s">
        <v>927</v>
      </c>
      <c r="P876">
        <f>VLOOKUP(Tabla3[[#This Row],[FECHA]],TASA[],2,FALSE)</f>
        <v>330.38</v>
      </c>
      <c r="Q876" s="4">
        <f t="shared" si="105"/>
        <v>-339.02000726436222</v>
      </c>
      <c r="R876" t="s">
        <v>1465</v>
      </c>
    </row>
    <row r="877" spans="1:18" x14ac:dyDescent="0.25">
      <c r="A877" s="33">
        <v>46035</v>
      </c>
      <c r="B877" s="1">
        <v>73365</v>
      </c>
      <c r="C877" s="2" t="s">
        <v>1334</v>
      </c>
      <c r="D877" s="34">
        <v>-336.02</v>
      </c>
      <c r="E877" t="s">
        <v>20</v>
      </c>
      <c r="F877" s="2" t="e">
        <f>VLOOKUP(Tabla3[[#This Row],[CONTABLE]],'SAPROV (2)'!L:M,2,FALSE)</f>
        <v>#N/A</v>
      </c>
      <c r="H877" t="s">
        <v>588</v>
      </c>
      <c r="I877" s="2" t="str">
        <f>VLOOKUP(Tabla3[[#This Row],[Deposito]],'SAPROV (2)'!D:E,2,FALSE)</f>
        <v>A01</v>
      </c>
      <c r="K877" s="23" t="s">
        <v>23</v>
      </c>
      <c r="L877" s="2" t="str">
        <f>VLOOKUP(Tabla3[[#This Row],[PROVEEDOR]],'SAPROV (2)'!A:B,2,FALSE)</f>
        <v>04</v>
      </c>
      <c r="M877" t="str">
        <f>VLOOKUP(Tabla3[[#This Row],[SERVICIO]],'SAPROV (2)'!I:J,2,FALSE)</f>
        <v>SERV0060</v>
      </c>
      <c r="N877" t="s">
        <v>611</v>
      </c>
      <c r="P877">
        <f>VLOOKUP(Tabla3[[#This Row],[FECHA]],TASA[],2,FALSE)</f>
        <v>330.38</v>
      </c>
      <c r="Q877" s="4">
        <f t="shared" si="105"/>
        <v>-1.0170712512863975</v>
      </c>
      <c r="R877" t="s">
        <v>1465</v>
      </c>
    </row>
    <row r="878" spans="1:18" x14ac:dyDescent="0.25">
      <c r="A878" s="33">
        <v>46035</v>
      </c>
      <c r="B878" s="1">
        <v>73372</v>
      </c>
      <c r="C878" s="2" t="s">
        <v>1335</v>
      </c>
      <c r="D878" s="34">
        <v>-16859.29</v>
      </c>
      <c r="E878" t="s">
        <v>20</v>
      </c>
      <c r="F878" s="2" t="e">
        <f>VLOOKUP(Tabla3[[#This Row],[CONTABLE]],'SAPROV (2)'!L:M,2,FALSE)</f>
        <v>#N/A</v>
      </c>
      <c r="H878" t="s">
        <v>1281</v>
      </c>
      <c r="I878" s="2" t="str">
        <f>VLOOKUP(Tabla3[[#This Row],[Deposito]],'SAPROV (2)'!D:E,2,FALSE)</f>
        <v>07</v>
      </c>
      <c r="K878" s="2" t="s">
        <v>101</v>
      </c>
      <c r="L878" s="23" t="str">
        <f>VLOOKUP(Tabla3[[#This Row],[PROVEEDOR]],'SAPROV (2)'!A:B,2,FALSE)</f>
        <v>36</v>
      </c>
      <c r="M878" t="str">
        <f>VLOOKUP(Tabla3[[#This Row],[SERVICIO]],'SAPROV (2)'!I:J,2,FALSE)</f>
        <v>SERV0011</v>
      </c>
      <c r="N878" t="s">
        <v>927</v>
      </c>
      <c r="P878">
        <f>VLOOKUP(Tabla3[[#This Row],[FECHA]],TASA[],2,FALSE)</f>
        <v>330.38</v>
      </c>
      <c r="Q878" s="4">
        <f t="shared" si="105"/>
        <v>-51.029995762455357</v>
      </c>
      <c r="R878" t="s">
        <v>1465</v>
      </c>
    </row>
    <row r="879" spans="1:18" x14ac:dyDescent="0.25">
      <c r="A879" s="33">
        <v>46035</v>
      </c>
      <c r="B879" s="1">
        <v>73372</v>
      </c>
      <c r="C879" s="2" t="s">
        <v>1336</v>
      </c>
      <c r="D879" s="34">
        <v>-50.58</v>
      </c>
      <c r="E879" t="s">
        <v>20</v>
      </c>
      <c r="F879" s="2" t="e">
        <f>VLOOKUP(Tabla3[[#This Row],[CONTABLE]],'SAPROV (2)'!L:M,2,FALSE)</f>
        <v>#N/A</v>
      </c>
      <c r="H879" t="s">
        <v>588</v>
      </c>
      <c r="I879" s="2" t="str">
        <f>VLOOKUP(Tabla3[[#This Row],[Deposito]],'SAPROV (2)'!D:E,2,FALSE)</f>
        <v>A01</v>
      </c>
      <c r="K879" s="23" t="s">
        <v>23</v>
      </c>
      <c r="L879" s="23" t="str">
        <f>VLOOKUP(Tabla3[[#This Row],[PROVEEDOR]],'SAPROV (2)'!A:B,2,FALSE)</f>
        <v>04</v>
      </c>
      <c r="M879" t="str">
        <f>VLOOKUP(Tabla3[[#This Row],[SERVICIO]],'SAPROV (2)'!I:J,2,FALSE)</f>
        <v>SERV0060</v>
      </c>
      <c r="N879" t="s">
        <v>611</v>
      </c>
      <c r="P879">
        <f>VLOOKUP(Tabla3[[#This Row],[FECHA]],TASA[],2,FALSE)</f>
        <v>330.38</v>
      </c>
      <c r="Q879" s="4">
        <f t="shared" si="105"/>
        <v>-0.15309643440886253</v>
      </c>
      <c r="R879" t="s">
        <v>1465</v>
      </c>
    </row>
    <row r="880" spans="1:18" x14ac:dyDescent="0.25">
      <c r="A880" s="33">
        <v>46035</v>
      </c>
      <c r="B880" s="1">
        <v>73376</v>
      </c>
      <c r="C880" s="2" t="s">
        <v>1337</v>
      </c>
      <c r="D880" s="34">
        <v>-29410.43</v>
      </c>
      <c r="E880" t="s">
        <v>20</v>
      </c>
      <c r="F880" s="2" t="e">
        <f>VLOOKUP(Tabla3[[#This Row],[CONTABLE]],'SAPROV (2)'!L:M,2,FALSE)</f>
        <v>#N/A</v>
      </c>
      <c r="H880" t="s">
        <v>1280</v>
      </c>
      <c r="I880" s="2" t="str">
        <f>VLOOKUP(Tabla3[[#This Row],[Deposito]],'SAPROV (2)'!D:E,2,FALSE)</f>
        <v>01</v>
      </c>
      <c r="K880" s="2" t="s">
        <v>101</v>
      </c>
      <c r="L880" s="2" t="str">
        <f>VLOOKUP(Tabla3[[#This Row],[PROVEEDOR]],'SAPROV (2)'!A:B,2,FALSE)</f>
        <v>36</v>
      </c>
      <c r="M880" t="str">
        <f>VLOOKUP(Tabla3[[#This Row],[SERVICIO]],'SAPROV (2)'!I:J,2,FALSE)</f>
        <v>SERV0011</v>
      </c>
      <c r="N880" t="s">
        <v>927</v>
      </c>
      <c r="P880">
        <f>VLOOKUP(Tabla3[[#This Row],[FECHA]],TASA[],2,FALSE)</f>
        <v>330.38</v>
      </c>
      <c r="Q880" s="4">
        <f t="shared" si="105"/>
        <v>-89.020007264362249</v>
      </c>
      <c r="R880" t="s">
        <v>1465</v>
      </c>
    </row>
    <row r="881" spans="1:18" x14ac:dyDescent="0.25">
      <c r="A881" s="33">
        <v>46035</v>
      </c>
      <c r="B881" s="1">
        <v>73376</v>
      </c>
      <c r="C881" s="2" t="s">
        <v>1338</v>
      </c>
      <c r="D881" s="34">
        <v>-88.23</v>
      </c>
      <c r="E881" t="s">
        <v>20</v>
      </c>
      <c r="F881" s="2" t="e">
        <f>VLOOKUP(Tabla3[[#This Row],[CONTABLE]],'SAPROV (2)'!L:M,2,FALSE)</f>
        <v>#N/A</v>
      </c>
      <c r="H881" t="s">
        <v>588</v>
      </c>
      <c r="I881" s="2" t="str">
        <f>VLOOKUP(Tabla3[[#This Row],[Deposito]],'SAPROV (2)'!D:E,2,FALSE)</f>
        <v>A01</v>
      </c>
      <c r="K881" s="23" t="s">
        <v>23</v>
      </c>
      <c r="L881" s="23" t="str">
        <f>VLOOKUP(Tabla3[[#This Row],[PROVEEDOR]],'SAPROV (2)'!A:B,2,FALSE)</f>
        <v>04</v>
      </c>
      <c r="M881" t="str">
        <f>VLOOKUP(Tabla3[[#This Row],[SERVICIO]],'SAPROV (2)'!I:J,2,FALSE)</f>
        <v>SERV0060</v>
      </c>
      <c r="N881" t="s">
        <v>611</v>
      </c>
      <c r="P881">
        <f>VLOOKUP(Tabla3[[#This Row],[FECHA]],TASA[],2,FALSE)</f>
        <v>330.38</v>
      </c>
      <c r="Q881" s="4">
        <f t="shared" si="105"/>
        <v>-0.26705611719837763</v>
      </c>
      <c r="R881" t="s">
        <v>1465</v>
      </c>
    </row>
    <row r="882" spans="1:18" x14ac:dyDescent="0.25">
      <c r="A882" s="33">
        <v>46035</v>
      </c>
      <c r="B882" s="1">
        <v>73379</v>
      </c>
      <c r="C882" s="2" t="s">
        <v>1339</v>
      </c>
      <c r="D882" s="34">
        <v>-50885.13</v>
      </c>
      <c r="E882" t="s">
        <v>20</v>
      </c>
      <c r="F882" s="2" t="e">
        <f>VLOOKUP(Tabla3[[#This Row],[CONTABLE]],'SAPROV (2)'!L:M,2,FALSE)</f>
        <v>#N/A</v>
      </c>
      <c r="H882" t="s">
        <v>1281</v>
      </c>
      <c r="I882" s="2" t="str">
        <f>VLOOKUP(Tabla3[[#This Row],[Deposito]],'SAPROV (2)'!D:E,2,FALSE)</f>
        <v>07</v>
      </c>
      <c r="K882" s="2" t="s">
        <v>101</v>
      </c>
      <c r="L882" s="23" t="str">
        <f>VLOOKUP(Tabla3[[#This Row],[PROVEEDOR]],'SAPROV (2)'!A:B,2,FALSE)</f>
        <v>36</v>
      </c>
      <c r="M882" t="str">
        <f>VLOOKUP(Tabla3[[#This Row],[SERVICIO]],'SAPROV (2)'!I:J,2,FALSE)</f>
        <v>SERV0011</v>
      </c>
      <c r="N882" t="s">
        <v>927</v>
      </c>
      <c r="P882">
        <f>VLOOKUP(Tabla3[[#This Row],[FECHA]],TASA[],2,FALSE)</f>
        <v>330.38</v>
      </c>
      <c r="Q882" s="4">
        <f t="shared" si="105"/>
        <v>-154.02000726436225</v>
      </c>
      <c r="R882" t="s">
        <v>1465</v>
      </c>
    </row>
    <row r="883" spans="1:18" x14ac:dyDescent="0.25">
      <c r="A883" s="33">
        <v>46035</v>
      </c>
      <c r="B883" s="1">
        <v>73379</v>
      </c>
      <c r="C883" s="2" t="s">
        <v>1340</v>
      </c>
      <c r="D883" s="34">
        <v>-152.66</v>
      </c>
      <c r="E883" t="s">
        <v>20</v>
      </c>
      <c r="F883" s="2" t="e">
        <f>VLOOKUP(Tabla3[[#This Row],[CONTABLE]],'SAPROV (2)'!L:M,2,FALSE)</f>
        <v>#N/A</v>
      </c>
      <c r="H883" t="s">
        <v>588</v>
      </c>
      <c r="I883" s="2" t="str">
        <f>VLOOKUP(Tabla3[[#This Row],[Deposito]],'SAPROV (2)'!D:E,2,FALSE)</f>
        <v>A01</v>
      </c>
      <c r="K883" s="23" t="s">
        <v>23</v>
      </c>
      <c r="L883" s="2" t="str">
        <f>VLOOKUP(Tabla3[[#This Row],[PROVEEDOR]],'SAPROV (2)'!A:B,2,FALSE)</f>
        <v>04</v>
      </c>
      <c r="M883" t="str">
        <f>VLOOKUP(Tabla3[[#This Row],[SERVICIO]],'SAPROV (2)'!I:J,2,FALSE)</f>
        <v>SERV0060</v>
      </c>
      <c r="N883" t="s">
        <v>611</v>
      </c>
      <c r="P883">
        <f>VLOOKUP(Tabla3[[#This Row],[FECHA]],TASA[],2,FALSE)</f>
        <v>330.38</v>
      </c>
      <c r="Q883" s="4">
        <f t="shared" si="105"/>
        <v>-0.46207397542224105</v>
      </c>
      <c r="R883" t="s">
        <v>1465</v>
      </c>
    </row>
    <row r="884" spans="1:18" x14ac:dyDescent="0.25">
      <c r="A884" s="33">
        <v>46035</v>
      </c>
      <c r="B884" s="1">
        <v>73386</v>
      </c>
      <c r="C884" s="2" t="s">
        <v>1341</v>
      </c>
      <c r="D884" s="34">
        <v>-29410.43</v>
      </c>
      <c r="E884" t="s">
        <v>20</v>
      </c>
      <c r="F884" s="2" t="e">
        <f>VLOOKUP(Tabla3[[#This Row],[CONTABLE]],'SAPROV (2)'!L:M,2,FALSE)</f>
        <v>#N/A</v>
      </c>
      <c r="H884" t="s">
        <v>1281</v>
      </c>
      <c r="I884" s="2" t="str">
        <f>VLOOKUP(Tabla3[[#This Row],[Deposito]],'SAPROV (2)'!D:E,2,FALSE)</f>
        <v>07</v>
      </c>
      <c r="K884" s="2" t="s">
        <v>101</v>
      </c>
      <c r="L884" s="23" t="str">
        <f>VLOOKUP(Tabla3[[#This Row],[PROVEEDOR]],'SAPROV (2)'!A:B,2,FALSE)</f>
        <v>36</v>
      </c>
      <c r="M884" t="str">
        <f>VLOOKUP(Tabla3[[#This Row],[SERVICIO]],'SAPROV (2)'!I:J,2,FALSE)</f>
        <v>SERV0011</v>
      </c>
      <c r="N884" t="s">
        <v>927</v>
      </c>
      <c r="P884">
        <f>VLOOKUP(Tabla3[[#This Row],[FECHA]],TASA[],2,FALSE)</f>
        <v>330.38</v>
      </c>
      <c r="Q884" s="4">
        <f t="shared" si="105"/>
        <v>-89.020007264362249</v>
      </c>
      <c r="R884" t="s">
        <v>1465</v>
      </c>
    </row>
    <row r="885" spans="1:18" x14ac:dyDescent="0.25">
      <c r="A885" s="33">
        <v>46035</v>
      </c>
      <c r="B885" s="1">
        <v>73386</v>
      </c>
      <c r="C885" s="2" t="s">
        <v>1342</v>
      </c>
      <c r="D885" s="34">
        <v>-88.23</v>
      </c>
      <c r="E885" t="s">
        <v>20</v>
      </c>
      <c r="F885" s="2" t="e">
        <f>VLOOKUP(Tabla3[[#This Row],[CONTABLE]],'SAPROV (2)'!L:M,2,FALSE)</f>
        <v>#N/A</v>
      </c>
      <c r="H885" t="s">
        <v>588</v>
      </c>
      <c r="I885" s="2" t="str">
        <f>VLOOKUP(Tabla3[[#This Row],[Deposito]],'SAPROV (2)'!D:E,2,FALSE)</f>
        <v>A01</v>
      </c>
      <c r="K885" s="23" t="s">
        <v>23</v>
      </c>
      <c r="L885" s="23" t="str">
        <f>VLOOKUP(Tabla3[[#This Row],[PROVEEDOR]],'SAPROV (2)'!A:B,2,FALSE)</f>
        <v>04</v>
      </c>
      <c r="M885" t="str">
        <f>VLOOKUP(Tabla3[[#This Row],[SERVICIO]],'SAPROV (2)'!I:J,2,FALSE)</f>
        <v>SERV0060</v>
      </c>
      <c r="N885" t="s">
        <v>611</v>
      </c>
      <c r="P885">
        <f>VLOOKUP(Tabla3[[#This Row],[FECHA]],TASA[],2,FALSE)</f>
        <v>330.38</v>
      </c>
      <c r="Q885" s="4">
        <f t="shared" si="105"/>
        <v>-0.26705611719837763</v>
      </c>
      <c r="R885" t="s">
        <v>1465</v>
      </c>
    </row>
    <row r="886" spans="1:18" x14ac:dyDescent="0.25">
      <c r="A886" s="33">
        <v>46035</v>
      </c>
      <c r="B886" s="1">
        <v>73388</v>
      </c>
      <c r="C886" s="2" t="s">
        <v>1473</v>
      </c>
      <c r="D886" s="34">
        <v>-29410.43</v>
      </c>
      <c r="E886" t="s">
        <v>20</v>
      </c>
      <c r="F886" s="2" t="e">
        <f>VLOOKUP(Tabla3[[#This Row],[CONTABLE]],'SAPROV (2)'!L:M,2,FALSE)</f>
        <v>#N/A</v>
      </c>
      <c r="H886" t="s">
        <v>1281</v>
      </c>
      <c r="I886" s="2" t="str">
        <f>VLOOKUP(Tabla3[[#This Row],[Deposito]],'SAPROV (2)'!D:E,2,FALSE)</f>
        <v>07</v>
      </c>
      <c r="K886" s="2" t="s">
        <v>101</v>
      </c>
      <c r="L886" s="2" t="str">
        <f>VLOOKUP(Tabla3[[#This Row],[PROVEEDOR]],'SAPROV (2)'!A:B,2,FALSE)</f>
        <v>36</v>
      </c>
      <c r="M886" t="str">
        <f>VLOOKUP(Tabla3[[#This Row],[SERVICIO]],'SAPROV (2)'!I:J,2,FALSE)</f>
        <v>SERV0011</v>
      </c>
      <c r="N886" t="s">
        <v>927</v>
      </c>
      <c r="P886">
        <f>VLOOKUP(Tabla3[[#This Row],[FECHA]],TASA[],2,FALSE)</f>
        <v>330.38</v>
      </c>
      <c r="Q886" s="4">
        <f t="shared" si="105"/>
        <v>-89.020007264362249</v>
      </c>
      <c r="R886" t="s">
        <v>1465</v>
      </c>
    </row>
    <row r="887" spans="1:18" x14ac:dyDescent="0.25">
      <c r="A887" s="33">
        <v>46035</v>
      </c>
      <c r="B887" s="1">
        <v>73388</v>
      </c>
      <c r="C887" s="2" t="s">
        <v>1343</v>
      </c>
      <c r="D887" s="34">
        <v>-88.23</v>
      </c>
      <c r="E887" t="s">
        <v>20</v>
      </c>
      <c r="F887" s="2" t="e">
        <f>VLOOKUP(Tabla3[[#This Row],[CONTABLE]],'SAPROV (2)'!L:M,2,FALSE)</f>
        <v>#N/A</v>
      </c>
      <c r="H887" t="s">
        <v>588</v>
      </c>
      <c r="I887" s="2" t="str">
        <f>VLOOKUP(Tabla3[[#This Row],[Deposito]],'SAPROV (2)'!D:E,2,FALSE)</f>
        <v>A01</v>
      </c>
      <c r="K887" s="23" t="s">
        <v>23</v>
      </c>
      <c r="L887" s="23" t="str">
        <f>VLOOKUP(Tabla3[[#This Row],[PROVEEDOR]],'SAPROV (2)'!A:B,2,FALSE)</f>
        <v>04</v>
      </c>
      <c r="M887" t="str">
        <f>VLOOKUP(Tabla3[[#This Row],[SERVICIO]],'SAPROV (2)'!I:J,2,FALSE)</f>
        <v>SERV0060</v>
      </c>
      <c r="N887" t="s">
        <v>611</v>
      </c>
      <c r="P887">
        <f>VLOOKUP(Tabla3[[#This Row],[FECHA]],TASA[],2,FALSE)</f>
        <v>330.38</v>
      </c>
      <c r="Q887" s="4">
        <f t="shared" si="105"/>
        <v>-0.26705611719837763</v>
      </c>
      <c r="R887" t="s">
        <v>1465</v>
      </c>
    </row>
    <row r="888" spans="1:18" x14ac:dyDescent="0.25">
      <c r="A888" s="33">
        <v>46035</v>
      </c>
      <c r="B888" s="1">
        <v>73392</v>
      </c>
      <c r="C888" s="2" t="s">
        <v>1344</v>
      </c>
      <c r="D888" s="34">
        <v>-63551.9</v>
      </c>
      <c r="E888" t="s">
        <v>20</v>
      </c>
      <c r="F888" s="2" t="e">
        <f>VLOOKUP(Tabla3[[#This Row],[CONTABLE]],'SAPROV (2)'!L:M,2,FALSE)</f>
        <v>#N/A</v>
      </c>
      <c r="H888" t="s">
        <v>1280</v>
      </c>
      <c r="I888" s="2" t="str">
        <f>VLOOKUP(Tabla3[[#This Row],[Deposito]],'SAPROV (2)'!D:E,2,FALSE)</f>
        <v>01</v>
      </c>
      <c r="K888" s="2" t="s">
        <v>101</v>
      </c>
      <c r="L888" s="23" t="str">
        <f>VLOOKUP(Tabla3[[#This Row],[PROVEEDOR]],'SAPROV (2)'!A:B,2,FALSE)</f>
        <v>36</v>
      </c>
      <c r="M888" t="str">
        <f>VLOOKUP(Tabla3[[#This Row],[SERVICIO]],'SAPROV (2)'!I:J,2,FALSE)</f>
        <v>SERV0011</v>
      </c>
      <c r="N888" t="s">
        <v>927</v>
      </c>
      <c r="P888">
        <f>VLOOKUP(Tabla3[[#This Row],[FECHA]],TASA[],2,FALSE)</f>
        <v>330.38</v>
      </c>
      <c r="Q888" s="4">
        <f t="shared" si="105"/>
        <v>-192.36000968581635</v>
      </c>
      <c r="R888" t="s">
        <v>1465</v>
      </c>
    </row>
    <row r="889" spans="1:18" x14ac:dyDescent="0.25">
      <c r="A889" s="33">
        <v>46035</v>
      </c>
      <c r="B889" s="1">
        <v>73392</v>
      </c>
      <c r="C889" s="2" t="s">
        <v>1345</v>
      </c>
      <c r="D889" s="34">
        <v>-190.66</v>
      </c>
      <c r="E889" t="s">
        <v>20</v>
      </c>
      <c r="F889" s="2" t="e">
        <f>VLOOKUP(Tabla3[[#This Row],[CONTABLE]],'SAPROV (2)'!L:M,2,FALSE)</f>
        <v>#N/A</v>
      </c>
      <c r="H889" t="s">
        <v>588</v>
      </c>
      <c r="I889" s="2" t="str">
        <f>VLOOKUP(Tabla3[[#This Row],[Deposito]],'SAPROV (2)'!D:E,2,FALSE)</f>
        <v>A01</v>
      </c>
      <c r="K889" s="23" t="s">
        <v>23</v>
      </c>
      <c r="L889" s="2" t="str">
        <f>VLOOKUP(Tabla3[[#This Row],[PROVEEDOR]],'SAPROV (2)'!A:B,2,FALSE)</f>
        <v>04</v>
      </c>
      <c r="M889" t="str">
        <f>VLOOKUP(Tabla3[[#This Row],[SERVICIO]],'SAPROV (2)'!I:J,2,FALSE)</f>
        <v>SERV0060</v>
      </c>
      <c r="N889" t="s">
        <v>611</v>
      </c>
      <c r="P889">
        <f>VLOOKUP(Tabla3[[#This Row],[FECHA]],TASA[],2,FALSE)</f>
        <v>330.38</v>
      </c>
      <c r="Q889" s="4">
        <f t="shared" si="105"/>
        <v>-0.57709304437314612</v>
      </c>
      <c r="R889" t="s">
        <v>1465</v>
      </c>
    </row>
    <row r="890" spans="1:18" x14ac:dyDescent="0.25">
      <c r="A890" s="33">
        <v>46035</v>
      </c>
      <c r="B890" s="1">
        <v>73397</v>
      </c>
      <c r="C890" s="2" t="s">
        <v>1346</v>
      </c>
      <c r="D890" s="34">
        <v>-32165.8</v>
      </c>
      <c r="E890" t="s">
        <v>20</v>
      </c>
      <c r="F890" s="2" t="e">
        <f>VLOOKUP(Tabla3[[#This Row],[CONTABLE]],'SAPROV (2)'!L:M,2,FALSE)</f>
        <v>#N/A</v>
      </c>
      <c r="H890" t="s">
        <v>1280</v>
      </c>
      <c r="I890" s="2" t="str">
        <f>VLOOKUP(Tabla3[[#This Row],[Deposito]],'SAPROV (2)'!D:E,2,FALSE)</f>
        <v>01</v>
      </c>
      <c r="K890" s="2" t="s">
        <v>101</v>
      </c>
      <c r="L890" s="23" t="str">
        <f>VLOOKUP(Tabla3[[#This Row],[PROVEEDOR]],'SAPROV (2)'!A:B,2,FALSE)</f>
        <v>36</v>
      </c>
      <c r="M890" t="str">
        <f>VLOOKUP(Tabla3[[#This Row],[SERVICIO]],'SAPROV (2)'!I:J,2,FALSE)</f>
        <v>SERV0011</v>
      </c>
      <c r="N890" t="s">
        <v>927</v>
      </c>
      <c r="P890">
        <f>VLOOKUP(Tabla3[[#This Row],[FECHA]],TASA[],2,FALSE)</f>
        <v>330.38</v>
      </c>
      <c r="Q890" s="4">
        <f t="shared" si="105"/>
        <v>-97.360009685816337</v>
      </c>
      <c r="R890" t="s">
        <v>1465</v>
      </c>
    </row>
    <row r="891" spans="1:18" x14ac:dyDescent="0.25">
      <c r="A891" s="33">
        <v>46035</v>
      </c>
      <c r="B891" s="1">
        <v>73397</v>
      </c>
      <c r="C891" s="2" t="s">
        <v>1347</v>
      </c>
      <c r="D891" s="34">
        <v>-96.5</v>
      </c>
      <c r="E891" t="s">
        <v>20</v>
      </c>
      <c r="F891" s="2" t="e">
        <f>VLOOKUP(Tabla3[[#This Row],[CONTABLE]],'SAPROV (2)'!L:M,2,FALSE)</f>
        <v>#N/A</v>
      </c>
      <c r="H891" t="s">
        <v>588</v>
      </c>
      <c r="I891" s="2" t="str">
        <f>VLOOKUP(Tabla3[[#This Row],[Deposito]],'SAPROV (2)'!D:E,2,FALSE)</f>
        <v>A01</v>
      </c>
      <c r="K891" s="23" t="s">
        <v>23</v>
      </c>
      <c r="L891" s="23" t="str">
        <f>VLOOKUP(Tabla3[[#This Row],[PROVEEDOR]],'SAPROV (2)'!A:B,2,FALSE)</f>
        <v>04</v>
      </c>
      <c r="M891" t="str">
        <f>VLOOKUP(Tabla3[[#This Row],[SERVICIO]],'SAPROV (2)'!I:J,2,FALSE)</f>
        <v>SERV0060</v>
      </c>
      <c r="N891" t="s">
        <v>611</v>
      </c>
      <c r="P891">
        <f>VLOOKUP(Tabla3[[#This Row],[FECHA]],TASA[],2,FALSE)</f>
        <v>330.38</v>
      </c>
      <c r="Q891" s="4">
        <f t="shared" si="105"/>
        <v>-0.29208789878321934</v>
      </c>
      <c r="R891" t="s">
        <v>1465</v>
      </c>
    </row>
    <row r="892" spans="1:18" x14ac:dyDescent="0.25">
      <c r="A892" s="33">
        <v>46035</v>
      </c>
      <c r="B892" s="1">
        <v>73399</v>
      </c>
      <c r="C892" s="2" t="s">
        <v>1348</v>
      </c>
      <c r="D892" s="34">
        <v>-21699.360000000001</v>
      </c>
      <c r="E892" t="s">
        <v>20</v>
      </c>
      <c r="F892" s="2" t="e">
        <f>VLOOKUP(Tabla3[[#This Row],[CONTABLE]],'SAPROV (2)'!L:M,2,FALSE)</f>
        <v>#N/A</v>
      </c>
      <c r="H892" t="s">
        <v>1281</v>
      </c>
      <c r="I892" s="2" t="str">
        <f>VLOOKUP(Tabla3[[#This Row],[Deposito]],'SAPROV (2)'!D:E,2,FALSE)</f>
        <v>07</v>
      </c>
      <c r="K892" s="2" t="s">
        <v>101</v>
      </c>
      <c r="L892" s="2" t="str">
        <f>VLOOKUP(Tabla3[[#This Row],[PROVEEDOR]],'SAPROV (2)'!A:B,2,FALSE)</f>
        <v>36</v>
      </c>
      <c r="M892" t="str">
        <f>VLOOKUP(Tabla3[[#This Row],[SERVICIO]],'SAPROV (2)'!I:J,2,FALSE)</f>
        <v>SERV0011</v>
      </c>
      <c r="N892" t="s">
        <v>927</v>
      </c>
      <c r="P892">
        <f>VLOOKUP(Tabla3[[#This Row],[FECHA]],TASA[],2,FALSE)</f>
        <v>330.38</v>
      </c>
      <c r="Q892" s="4">
        <f t="shared" si="105"/>
        <v>-65.680004842908176</v>
      </c>
      <c r="R892" t="s">
        <v>1465</v>
      </c>
    </row>
    <row r="893" spans="1:18" x14ac:dyDescent="0.25">
      <c r="A893" s="33">
        <v>46035</v>
      </c>
      <c r="B893" s="1">
        <v>73399</v>
      </c>
      <c r="C893" s="2" t="s">
        <v>1349</v>
      </c>
      <c r="D893" s="34">
        <v>-65.099999999999994</v>
      </c>
      <c r="E893" t="s">
        <v>20</v>
      </c>
      <c r="F893" s="2" t="e">
        <f>VLOOKUP(Tabla3[[#This Row],[CONTABLE]],'SAPROV (2)'!L:M,2,FALSE)</f>
        <v>#N/A</v>
      </c>
      <c r="H893" t="s">
        <v>588</v>
      </c>
      <c r="I893" s="2" t="str">
        <f>VLOOKUP(Tabla3[[#This Row],[Deposito]],'SAPROV (2)'!D:E,2,FALSE)</f>
        <v>A01</v>
      </c>
      <c r="K893" s="23" t="s">
        <v>23</v>
      </c>
      <c r="L893" s="23" t="str">
        <f>VLOOKUP(Tabla3[[#This Row],[PROVEEDOR]],'SAPROV (2)'!A:B,2,FALSE)</f>
        <v>04</v>
      </c>
      <c r="M893" t="str">
        <f>VLOOKUP(Tabla3[[#This Row],[SERVICIO]],'SAPROV (2)'!I:J,2,FALSE)</f>
        <v>SERV0060</v>
      </c>
      <c r="N893" t="s">
        <v>611</v>
      </c>
      <c r="P893">
        <f>VLOOKUP(Tabla3[[#This Row],[FECHA]],TASA[],2,FALSE)</f>
        <v>330.38</v>
      </c>
      <c r="Q893" s="4">
        <f t="shared" si="105"/>
        <v>-0.19704582601852411</v>
      </c>
      <c r="R893" t="s">
        <v>1465</v>
      </c>
    </row>
    <row r="894" spans="1:18" x14ac:dyDescent="0.25">
      <c r="A894" s="33">
        <v>46035</v>
      </c>
      <c r="B894" s="1">
        <v>73416</v>
      </c>
      <c r="C894" s="2" t="s">
        <v>1350</v>
      </c>
      <c r="D894" s="34">
        <v>-29410.43</v>
      </c>
      <c r="E894" t="s">
        <v>20</v>
      </c>
      <c r="F894" s="2" t="e">
        <f>VLOOKUP(Tabla3[[#This Row],[CONTABLE]],'SAPROV (2)'!L:M,2,FALSE)</f>
        <v>#N/A</v>
      </c>
      <c r="H894" t="s">
        <v>1274</v>
      </c>
      <c r="I894" s="2" t="str">
        <f>VLOOKUP(Tabla3[[#This Row],[Deposito]],'SAPROV (2)'!D:E,2,FALSE)</f>
        <v>02</v>
      </c>
      <c r="K894" s="2" t="s">
        <v>101</v>
      </c>
      <c r="L894" s="23" t="str">
        <f>VLOOKUP(Tabla3[[#This Row],[PROVEEDOR]],'SAPROV (2)'!A:B,2,FALSE)</f>
        <v>36</v>
      </c>
      <c r="M894" t="str">
        <f>VLOOKUP(Tabla3[[#This Row],[SERVICIO]],'SAPROV (2)'!I:J,2,FALSE)</f>
        <v>SERV0011</v>
      </c>
      <c r="N894" t="s">
        <v>927</v>
      </c>
      <c r="P894">
        <f>VLOOKUP(Tabla3[[#This Row],[FECHA]],TASA[],2,FALSE)</f>
        <v>330.38</v>
      </c>
      <c r="Q894" s="4">
        <f t="shared" si="105"/>
        <v>-89.020007264362249</v>
      </c>
      <c r="R894" t="s">
        <v>1465</v>
      </c>
    </row>
    <row r="895" spans="1:18" x14ac:dyDescent="0.25">
      <c r="A895" s="33">
        <v>46035</v>
      </c>
      <c r="B895" s="1">
        <v>73416</v>
      </c>
      <c r="C895" s="2" t="s">
        <v>1351</v>
      </c>
      <c r="D895" s="34">
        <v>-88.23</v>
      </c>
      <c r="E895" t="s">
        <v>20</v>
      </c>
      <c r="F895" s="2" t="e">
        <f>VLOOKUP(Tabla3[[#This Row],[CONTABLE]],'SAPROV (2)'!L:M,2,FALSE)</f>
        <v>#N/A</v>
      </c>
      <c r="H895" t="s">
        <v>588</v>
      </c>
      <c r="I895" s="2" t="str">
        <f>VLOOKUP(Tabla3[[#This Row],[Deposito]],'SAPROV (2)'!D:E,2,FALSE)</f>
        <v>A01</v>
      </c>
      <c r="K895" s="23" t="s">
        <v>23</v>
      </c>
      <c r="L895" s="2" t="str">
        <f>VLOOKUP(Tabla3[[#This Row],[PROVEEDOR]],'SAPROV (2)'!A:B,2,FALSE)</f>
        <v>04</v>
      </c>
      <c r="M895" t="str">
        <f>VLOOKUP(Tabla3[[#This Row],[SERVICIO]],'SAPROV (2)'!I:J,2,FALSE)</f>
        <v>SERV0060</v>
      </c>
      <c r="N895" t="s">
        <v>611</v>
      </c>
      <c r="P895">
        <f>VLOOKUP(Tabla3[[#This Row],[FECHA]],TASA[],2,FALSE)</f>
        <v>330.38</v>
      </c>
      <c r="Q895" s="4">
        <f t="shared" si="105"/>
        <v>-0.26705611719837763</v>
      </c>
      <c r="R895" t="s">
        <v>1465</v>
      </c>
    </row>
    <row r="896" spans="1:18" x14ac:dyDescent="0.25">
      <c r="A896" s="33">
        <v>46035</v>
      </c>
      <c r="B896" s="1">
        <v>73420</v>
      </c>
      <c r="C896" s="2" t="s">
        <v>1352</v>
      </c>
      <c r="D896" s="34">
        <v>-45929.43</v>
      </c>
      <c r="E896" t="s">
        <v>20</v>
      </c>
      <c r="F896" s="2" t="e">
        <f>VLOOKUP(Tabla3[[#This Row],[CONTABLE]],'SAPROV (2)'!L:M,2,FALSE)</f>
        <v>#N/A</v>
      </c>
      <c r="H896" t="s">
        <v>1280</v>
      </c>
      <c r="I896" s="2" t="str">
        <f>VLOOKUP(Tabla3[[#This Row],[Deposito]],'SAPROV (2)'!D:E,2,FALSE)</f>
        <v>01</v>
      </c>
      <c r="K896" s="2" t="s">
        <v>101</v>
      </c>
      <c r="L896" s="23" t="str">
        <f>VLOOKUP(Tabla3[[#This Row],[PROVEEDOR]],'SAPROV (2)'!A:B,2,FALSE)</f>
        <v>36</v>
      </c>
      <c r="M896" t="str">
        <f>VLOOKUP(Tabla3[[#This Row],[SERVICIO]],'SAPROV (2)'!I:J,2,FALSE)</f>
        <v>SERV0011</v>
      </c>
      <c r="N896" t="s">
        <v>927</v>
      </c>
      <c r="P896">
        <f>VLOOKUP(Tabla3[[#This Row],[FECHA]],TASA[],2,FALSE)</f>
        <v>330.38</v>
      </c>
      <c r="Q896" s="4">
        <f t="shared" si="105"/>
        <v>-139.02000726436225</v>
      </c>
      <c r="R896" t="s">
        <v>1465</v>
      </c>
    </row>
    <row r="897" spans="1:18" x14ac:dyDescent="0.25">
      <c r="A897" s="33">
        <v>46035</v>
      </c>
      <c r="B897" s="1">
        <v>73420</v>
      </c>
      <c r="C897" s="2" t="s">
        <v>1353</v>
      </c>
      <c r="D897" s="34">
        <v>-137.79</v>
      </c>
      <c r="E897" t="s">
        <v>20</v>
      </c>
      <c r="F897" s="2" t="e">
        <f>VLOOKUP(Tabla3[[#This Row],[CONTABLE]],'SAPROV (2)'!L:M,2,FALSE)</f>
        <v>#N/A</v>
      </c>
      <c r="H897" t="s">
        <v>588</v>
      </c>
      <c r="I897" s="2" t="str">
        <f>VLOOKUP(Tabla3[[#This Row],[Deposito]],'SAPROV (2)'!D:E,2,FALSE)</f>
        <v>A01</v>
      </c>
      <c r="K897" s="23" t="s">
        <v>23</v>
      </c>
      <c r="L897" s="23" t="str">
        <f>VLOOKUP(Tabla3[[#This Row],[PROVEEDOR]],'SAPROV (2)'!A:B,2,FALSE)</f>
        <v>04</v>
      </c>
      <c r="M897" t="str">
        <f>VLOOKUP(Tabla3[[#This Row],[SERVICIO]],'SAPROV (2)'!I:J,2,FALSE)</f>
        <v>SERV0060</v>
      </c>
      <c r="N897" t="s">
        <v>611</v>
      </c>
      <c r="P897">
        <f>VLOOKUP(Tabla3[[#This Row],[FECHA]],TASA[],2,FALSE)</f>
        <v>330.38</v>
      </c>
      <c r="Q897" s="4">
        <f t="shared" si="105"/>
        <v>-0.41706519765118955</v>
      </c>
      <c r="R897" t="s">
        <v>1465</v>
      </c>
    </row>
    <row r="898" spans="1:18" x14ac:dyDescent="0.25">
      <c r="A898" s="33">
        <v>46035</v>
      </c>
      <c r="B898" s="1">
        <v>73424</v>
      </c>
      <c r="C898" s="2" t="s">
        <v>1354</v>
      </c>
      <c r="D898" s="34">
        <v>-21699.360000000001</v>
      </c>
      <c r="E898" t="s">
        <v>20</v>
      </c>
      <c r="F898" s="2" t="e">
        <f>VLOOKUP(Tabla3[[#This Row],[CONTABLE]],'SAPROV (2)'!L:M,2,FALSE)</f>
        <v>#N/A</v>
      </c>
      <c r="H898" t="s">
        <v>1281</v>
      </c>
      <c r="I898" s="2" t="str">
        <f>VLOOKUP(Tabla3[[#This Row],[Deposito]],'SAPROV (2)'!D:E,2,FALSE)</f>
        <v>07</v>
      </c>
      <c r="K898" s="2" t="s">
        <v>101</v>
      </c>
      <c r="L898" s="2" t="str">
        <f>VLOOKUP(Tabla3[[#This Row],[PROVEEDOR]],'SAPROV (2)'!A:B,2,FALSE)</f>
        <v>36</v>
      </c>
      <c r="M898" t="str">
        <f>VLOOKUP(Tabla3[[#This Row],[SERVICIO]],'SAPROV (2)'!I:J,2,FALSE)</f>
        <v>SERV0011</v>
      </c>
      <c r="N898" t="s">
        <v>927</v>
      </c>
      <c r="P898">
        <f>VLOOKUP(Tabla3[[#This Row],[FECHA]],TASA[],2,FALSE)</f>
        <v>330.38</v>
      </c>
      <c r="Q898" s="4">
        <f t="shared" si="105"/>
        <v>-65.680004842908176</v>
      </c>
      <c r="R898" t="s">
        <v>1465</v>
      </c>
    </row>
    <row r="899" spans="1:18" x14ac:dyDescent="0.25">
      <c r="A899" s="33">
        <v>46035</v>
      </c>
      <c r="B899" s="1">
        <v>73424</v>
      </c>
      <c r="C899" s="2" t="s">
        <v>1355</v>
      </c>
      <c r="D899" s="34">
        <v>-65.099999999999994</v>
      </c>
      <c r="E899" t="s">
        <v>20</v>
      </c>
      <c r="F899" s="2" t="e">
        <f>VLOOKUP(Tabla3[[#This Row],[CONTABLE]],'SAPROV (2)'!L:M,2,FALSE)</f>
        <v>#N/A</v>
      </c>
      <c r="H899" t="s">
        <v>588</v>
      </c>
      <c r="I899" s="2" t="str">
        <f>VLOOKUP(Tabla3[[#This Row],[Deposito]],'SAPROV (2)'!D:E,2,FALSE)</f>
        <v>A01</v>
      </c>
      <c r="K899" s="23" t="s">
        <v>23</v>
      </c>
      <c r="L899" s="23" t="str">
        <f>VLOOKUP(Tabla3[[#This Row],[PROVEEDOR]],'SAPROV (2)'!A:B,2,FALSE)</f>
        <v>04</v>
      </c>
      <c r="M899" t="str">
        <f>VLOOKUP(Tabla3[[#This Row],[SERVICIO]],'SAPROV (2)'!I:J,2,FALSE)</f>
        <v>SERV0060</v>
      </c>
      <c r="N899" t="s">
        <v>611</v>
      </c>
      <c r="P899">
        <f>VLOOKUP(Tabla3[[#This Row],[FECHA]],TASA[],2,FALSE)</f>
        <v>330.38</v>
      </c>
      <c r="Q899" s="4">
        <f t="shared" si="105"/>
        <v>-0.19704582601852411</v>
      </c>
      <c r="R899" t="s">
        <v>1465</v>
      </c>
    </row>
    <row r="900" spans="1:18" x14ac:dyDescent="0.25">
      <c r="A900" s="33">
        <v>46035</v>
      </c>
      <c r="B900" s="1">
        <v>73428</v>
      </c>
      <c r="C900" s="2" t="s">
        <v>1356</v>
      </c>
      <c r="D900" s="34">
        <v>-24927.17</v>
      </c>
      <c r="E900" t="s">
        <v>20</v>
      </c>
      <c r="F900" s="2" t="e">
        <f>VLOOKUP(Tabla3[[#This Row],[CONTABLE]],'SAPROV (2)'!L:M,2,FALSE)</f>
        <v>#N/A</v>
      </c>
      <c r="H900" t="s">
        <v>1280</v>
      </c>
      <c r="I900" s="2" t="str">
        <f>VLOOKUP(Tabla3[[#This Row],[Deposito]],'SAPROV (2)'!D:E,2,FALSE)</f>
        <v>01</v>
      </c>
      <c r="K900" s="2" t="s">
        <v>101</v>
      </c>
      <c r="L900" s="23" t="str">
        <f>VLOOKUP(Tabla3[[#This Row],[PROVEEDOR]],'SAPROV (2)'!A:B,2,FALSE)</f>
        <v>36</v>
      </c>
      <c r="M900" t="str">
        <f>VLOOKUP(Tabla3[[#This Row],[SERVICIO]],'SAPROV (2)'!I:J,2,FALSE)</f>
        <v>SERV0011</v>
      </c>
      <c r="N900" t="s">
        <v>927</v>
      </c>
      <c r="P900">
        <f>VLOOKUP(Tabla3[[#This Row],[FECHA]],TASA[],2,FALSE)</f>
        <v>330.38</v>
      </c>
      <c r="Q900" s="4">
        <f t="shared" ref="Q900:Q963" si="106">D900/P900</f>
        <v>-75.449996973182394</v>
      </c>
      <c r="R900" t="s">
        <v>1465</v>
      </c>
    </row>
    <row r="901" spans="1:18" x14ac:dyDescent="0.25">
      <c r="A901" s="33">
        <v>46035</v>
      </c>
      <c r="B901" s="1">
        <v>73428</v>
      </c>
      <c r="C901" s="2" t="s">
        <v>1357</v>
      </c>
      <c r="D901" s="34">
        <v>-74.78</v>
      </c>
      <c r="E901" t="s">
        <v>20</v>
      </c>
      <c r="F901" s="2" t="e">
        <f>VLOOKUP(Tabla3[[#This Row],[CONTABLE]],'SAPROV (2)'!L:M,2,FALSE)</f>
        <v>#N/A</v>
      </c>
      <c r="H901" t="s">
        <v>588</v>
      </c>
      <c r="I901" s="2" t="str">
        <f>VLOOKUP(Tabla3[[#This Row],[Deposito]],'SAPROV (2)'!D:E,2,FALSE)</f>
        <v>A01</v>
      </c>
      <c r="K901" s="23" t="s">
        <v>23</v>
      </c>
      <c r="L901" s="2" t="str">
        <f>VLOOKUP(Tabla3[[#This Row],[PROVEEDOR]],'SAPROV (2)'!A:B,2,FALSE)</f>
        <v>04</v>
      </c>
      <c r="M901" t="str">
        <f>VLOOKUP(Tabla3[[#This Row],[SERVICIO]],'SAPROV (2)'!I:J,2,FALSE)</f>
        <v>SERV0060</v>
      </c>
      <c r="N901" t="s">
        <v>611</v>
      </c>
      <c r="P901">
        <f>VLOOKUP(Tabla3[[#This Row],[FECHA]],TASA[],2,FALSE)</f>
        <v>330.38</v>
      </c>
      <c r="Q901" s="4">
        <f t="shared" si="106"/>
        <v>-0.22634542042496519</v>
      </c>
      <c r="R901" t="s">
        <v>1465</v>
      </c>
    </row>
    <row r="902" spans="1:18" x14ac:dyDescent="0.25">
      <c r="A902" s="33">
        <v>46035</v>
      </c>
      <c r="B902" s="1">
        <v>73433</v>
      </c>
      <c r="C902" s="2" t="s">
        <v>1358</v>
      </c>
      <c r="D902" s="34">
        <v>-92513.01</v>
      </c>
      <c r="E902" t="s">
        <v>20</v>
      </c>
      <c r="F902" s="2" t="e">
        <f>VLOOKUP(Tabla3[[#This Row],[CONTABLE]],'SAPROV (2)'!L:M,2,FALSE)</f>
        <v>#N/A</v>
      </c>
      <c r="H902" t="s">
        <v>1281</v>
      </c>
      <c r="I902" s="2" t="str">
        <f>VLOOKUP(Tabla3[[#This Row],[Deposito]],'SAPROV (2)'!D:E,2,FALSE)</f>
        <v>07</v>
      </c>
      <c r="K902" s="2" t="s">
        <v>101</v>
      </c>
      <c r="L902" s="23" t="str">
        <f>VLOOKUP(Tabla3[[#This Row],[PROVEEDOR]],'SAPROV (2)'!A:B,2,FALSE)</f>
        <v>36</v>
      </c>
      <c r="M902" t="str">
        <f>VLOOKUP(Tabla3[[#This Row],[SERVICIO]],'SAPROV (2)'!I:J,2,FALSE)</f>
        <v>SERV0011</v>
      </c>
      <c r="N902" t="s">
        <v>927</v>
      </c>
      <c r="P902">
        <f>VLOOKUP(Tabla3[[#This Row],[FECHA]],TASA[],2,FALSE)</f>
        <v>330.38</v>
      </c>
      <c r="Q902" s="4">
        <f t="shared" si="106"/>
        <v>-280.02000726436222</v>
      </c>
      <c r="R902" t="s">
        <v>1465</v>
      </c>
    </row>
    <row r="903" spans="1:18" x14ac:dyDescent="0.25">
      <c r="A903" s="33">
        <v>46035</v>
      </c>
      <c r="B903" s="1">
        <v>73433</v>
      </c>
      <c r="C903" s="2" t="s">
        <v>1359</v>
      </c>
      <c r="D903" s="34">
        <v>-277.54000000000002</v>
      </c>
      <c r="E903" t="s">
        <v>20</v>
      </c>
      <c r="F903" s="2" t="e">
        <f>VLOOKUP(Tabla3[[#This Row],[CONTABLE]],'SAPROV (2)'!L:M,2,FALSE)</f>
        <v>#N/A</v>
      </c>
      <c r="H903" t="s">
        <v>588</v>
      </c>
      <c r="I903" s="2" t="str">
        <f>VLOOKUP(Tabla3[[#This Row],[Deposito]],'SAPROV (2)'!D:E,2,FALSE)</f>
        <v>A01</v>
      </c>
      <c r="K903" s="23" t="s">
        <v>23</v>
      </c>
      <c r="L903" s="23" t="str">
        <f>VLOOKUP(Tabla3[[#This Row],[PROVEEDOR]],'SAPROV (2)'!A:B,2,FALSE)</f>
        <v>04</v>
      </c>
      <c r="M903" t="str">
        <f>VLOOKUP(Tabla3[[#This Row],[SERVICIO]],'SAPROV (2)'!I:J,2,FALSE)</f>
        <v>SERV0060</v>
      </c>
      <c r="N903" t="s">
        <v>611</v>
      </c>
      <c r="P903">
        <f>VLOOKUP(Tabla3[[#This Row],[FECHA]],TASA[],2,FALSE)</f>
        <v>330.38</v>
      </c>
      <c r="Q903" s="4">
        <f t="shared" si="106"/>
        <v>-0.84006295780616269</v>
      </c>
      <c r="R903" t="s">
        <v>1465</v>
      </c>
    </row>
    <row r="904" spans="1:18" x14ac:dyDescent="0.25">
      <c r="A904" s="33">
        <v>46035</v>
      </c>
      <c r="B904" s="1">
        <v>73437</v>
      </c>
      <c r="C904" s="2" t="s">
        <v>1360</v>
      </c>
      <c r="D904" s="34">
        <v>-84471.56</v>
      </c>
      <c r="E904" t="s">
        <v>20</v>
      </c>
      <c r="F904" s="2" t="e">
        <f>VLOOKUP(Tabla3[[#This Row],[CONTABLE]],'SAPROV (2)'!L:M,2,FALSE)</f>
        <v>#N/A</v>
      </c>
      <c r="H904" t="s">
        <v>1281</v>
      </c>
      <c r="I904" s="2" t="str">
        <f>VLOOKUP(Tabla3[[#This Row],[Deposito]],'SAPROV (2)'!D:E,2,FALSE)</f>
        <v>07</v>
      </c>
      <c r="K904" s="2" t="s">
        <v>101</v>
      </c>
      <c r="L904" s="2" t="str">
        <f>VLOOKUP(Tabla3[[#This Row],[PROVEEDOR]],'SAPROV (2)'!A:B,2,FALSE)</f>
        <v>36</v>
      </c>
      <c r="M904" t="str">
        <f>VLOOKUP(Tabla3[[#This Row],[SERVICIO]],'SAPROV (2)'!I:J,2,FALSE)</f>
        <v>SERV0011</v>
      </c>
      <c r="N904" t="s">
        <v>927</v>
      </c>
      <c r="P904">
        <f>VLOOKUP(Tabla3[[#This Row],[FECHA]],TASA[],2,FALSE)</f>
        <v>330.38</v>
      </c>
      <c r="Q904" s="4">
        <f t="shared" si="106"/>
        <v>-255.68000484290818</v>
      </c>
      <c r="R904" t="s">
        <v>1465</v>
      </c>
    </row>
    <row r="905" spans="1:18" x14ac:dyDescent="0.25">
      <c r="A905" s="33">
        <v>46035</v>
      </c>
      <c r="B905" s="1">
        <v>73437</v>
      </c>
      <c r="C905" s="2" t="s">
        <v>1361</v>
      </c>
      <c r="D905" s="34">
        <v>-253.41</v>
      </c>
      <c r="E905" t="s">
        <v>20</v>
      </c>
      <c r="F905" s="2" t="e">
        <f>VLOOKUP(Tabla3[[#This Row],[CONTABLE]],'SAPROV (2)'!L:M,2,FALSE)</f>
        <v>#N/A</v>
      </c>
      <c r="H905" t="s">
        <v>588</v>
      </c>
      <c r="I905" s="2" t="str">
        <f>VLOOKUP(Tabla3[[#This Row],[Deposito]],'SAPROV (2)'!D:E,2,FALSE)</f>
        <v>A01</v>
      </c>
      <c r="K905" s="23" t="s">
        <v>23</v>
      </c>
      <c r="L905" s="23" t="str">
        <f>VLOOKUP(Tabla3[[#This Row],[PROVEEDOR]],'SAPROV (2)'!A:B,2,FALSE)</f>
        <v>04</v>
      </c>
      <c r="M905" t="str">
        <f>VLOOKUP(Tabla3[[#This Row],[SERVICIO]],'SAPROV (2)'!I:J,2,FALSE)</f>
        <v>SERV0060</v>
      </c>
      <c r="N905" t="s">
        <v>611</v>
      </c>
      <c r="P905">
        <f>VLOOKUP(Tabla3[[#This Row],[FECHA]],TASA[],2,FALSE)</f>
        <v>330.38</v>
      </c>
      <c r="Q905" s="4">
        <f t="shared" si="106"/>
        <v>-0.76702584902233795</v>
      </c>
      <c r="R905" t="s">
        <v>1465</v>
      </c>
    </row>
    <row r="906" spans="1:18" x14ac:dyDescent="0.25">
      <c r="A906" s="33">
        <v>46035</v>
      </c>
      <c r="B906" s="1">
        <v>73441</v>
      </c>
      <c r="C906" s="2" t="s">
        <v>1362</v>
      </c>
      <c r="D906" s="34">
        <v>-117506.25</v>
      </c>
      <c r="E906" t="s">
        <v>20</v>
      </c>
      <c r="F906" s="2" t="e">
        <f>VLOOKUP(Tabla3[[#This Row],[CONTABLE]],'SAPROV (2)'!L:M,2,FALSE)</f>
        <v>#N/A</v>
      </c>
      <c r="H906" t="s">
        <v>1281</v>
      </c>
      <c r="I906" s="2" t="str">
        <f>VLOOKUP(Tabla3[[#This Row],[Deposito]],'SAPROV (2)'!D:E,2,FALSE)</f>
        <v>07</v>
      </c>
      <c r="K906" s="2" t="s">
        <v>101</v>
      </c>
      <c r="L906" s="23" t="str">
        <f>VLOOKUP(Tabla3[[#This Row],[PROVEEDOR]],'SAPROV (2)'!A:B,2,FALSE)</f>
        <v>36</v>
      </c>
      <c r="M906" t="str">
        <f>VLOOKUP(Tabla3[[#This Row],[SERVICIO]],'SAPROV (2)'!I:J,2,FALSE)</f>
        <v>SERV0011</v>
      </c>
      <c r="N906" t="s">
        <v>927</v>
      </c>
      <c r="P906">
        <f>VLOOKUP(Tabla3[[#This Row],[FECHA]],TASA[],2,FALSE)</f>
        <v>330.38</v>
      </c>
      <c r="Q906" s="4">
        <f t="shared" si="106"/>
        <v>-355.66998607663902</v>
      </c>
      <c r="R906" t="s">
        <v>1465</v>
      </c>
    </row>
    <row r="907" spans="1:18" x14ac:dyDescent="0.25">
      <c r="A907" s="33">
        <v>46035</v>
      </c>
      <c r="B907" s="1">
        <v>73441</v>
      </c>
      <c r="C907" s="2" t="s">
        <v>1363</v>
      </c>
      <c r="D907" s="34">
        <v>-352.52</v>
      </c>
      <c r="E907" t="s">
        <v>20</v>
      </c>
      <c r="F907" s="2" t="e">
        <f>VLOOKUP(Tabla3[[#This Row],[CONTABLE]],'SAPROV (2)'!L:M,2,FALSE)</f>
        <v>#N/A</v>
      </c>
      <c r="H907" t="s">
        <v>588</v>
      </c>
      <c r="I907" s="2" t="str">
        <f>VLOOKUP(Tabla3[[#This Row],[Deposito]],'SAPROV (2)'!D:E,2,FALSE)</f>
        <v>A01</v>
      </c>
      <c r="K907" s="23" t="s">
        <v>23</v>
      </c>
      <c r="L907" s="2" t="str">
        <f>VLOOKUP(Tabla3[[#This Row],[PROVEEDOR]],'SAPROV (2)'!A:B,2,FALSE)</f>
        <v>04</v>
      </c>
      <c r="M907" t="str">
        <f>VLOOKUP(Tabla3[[#This Row],[SERVICIO]],'SAPROV (2)'!I:J,2,FALSE)</f>
        <v>SERV0060</v>
      </c>
      <c r="N907" t="s">
        <v>611</v>
      </c>
      <c r="P907">
        <f>VLOOKUP(Tabla3[[#This Row],[FECHA]],TASA[],2,FALSE)</f>
        <v>330.38</v>
      </c>
      <c r="Q907" s="4">
        <f t="shared" si="106"/>
        <v>-1.0670137417519221</v>
      </c>
      <c r="R907" t="s">
        <v>1465</v>
      </c>
    </row>
    <row r="908" spans="1:18" x14ac:dyDescent="0.25">
      <c r="A908" s="33">
        <v>46035</v>
      </c>
      <c r="B908" s="1">
        <v>73444</v>
      </c>
      <c r="C908" s="2" t="s">
        <v>1364</v>
      </c>
      <c r="D908" s="34">
        <v>-24791.72</v>
      </c>
      <c r="E908" t="s">
        <v>20</v>
      </c>
      <c r="F908" s="2" t="e">
        <f>VLOOKUP(Tabla3[[#This Row],[CONTABLE]],'SAPROV (2)'!L:M,2,FALSE)</f>
        <v>#N/A</v>
      </c>
      <c r="H908" t="s">
        <v>1278</v>
      </c>
      <c r="I908" s="2" t="str">
        <f>VLOOKUP(Tabla3[[#This Row],[Deposito]],'SAPROV (2)'!D:E,2,FALSE)</f>
        <v>06</v>
      </c>
      <c r="K908" s="2" t="s">
        <v>101</v>
      </c>
      <c r="L908" s="23" t="str">
        <f>VLOOKUP(Tabla3[[#This Row],[PROVEEDOR]],'SAPROV (2)'!A:B,2,FALSE)</f>
        <v>36</v>
      </c>
      <c r="M908" t="str">
        <f>VLOOKUP(Tabla3[[#This Row],[SERVICIO]],'SAPROV (2)'!I:J,2,FALSE)</f>
        <v>SERV0011</v>
      </c>
      <c r="N908" t="s">
        <v>927</v>
      </c>
      <c r="P908">
        <f>VLOOKUP(Tabla3[[#This Row],[FECHA]],TASA[],2,FALSE)</f>
        <v>330.38</v>
      </c>
      <c r="Q908" s="4">
        <f t="shared" si="106"/>
        <v>-75.040014528724498</v>
      </c>
      <c r="R908" t="s">
        <v>1465</v>
      </c>
    </row>
    <row r="909" spans="1:18" x14ac:dyDescent="0.25">
      <c r="A909" s="33">
        <v>46035</v>
      </c>
      <c r="B909" s="1">
        <v>73444</v>
      </c>
      <c r="C909" s="2" t="s">
        <v>1365</v>
      </c>
      <c r="D909" s="34">
        <v>-74.38</v>
      </c>
      <c r="E909" t="s">
        <v>20</v>
      </c>
      <c r="F909" s="2" t="e">
        <f>VLOOKUP(Tabla3[[#This Row],[CONTABLE]],'SAPROV (2)'!L:M,2,FALSE)</f>
        <v>#N/A</v>
      </c>
      <c r="H909" t="s">
        <v>588</v>
      </c>
      <c r="I909" s="2" t="str">
        <f>VLOOKUP(Tabla3[[#This Row],[Deposito]],'SAPROV (2)'!D:E,2,FALSE)</f>
        <v>A01</v>
      </c>
      <c r="K909" s="23" t="s">
        <v>23</v>
      </c>
      <c r="L909" s="23" t="str">
        <f>VLOOKUP(Tabla3[[#This Row],[PROVEEDOR]],'SAPROV (2)'!A:B,2,FALSE)</f>
        <v>04</v>
      </c>
      <c r="M909" t="str">
        <f>VLOOKUP(Tabla3[[#This Row],[SERVICIO]],'SAPROV (2)'!I:J,2,FALSE)</f>
        <v>SERV0060</v>
      </c>
      <c r="N909" t="s">
        <v>611</v>
      </c>
      <c r="P909">
        <f>VLOOKUP(Tabla3[[#This Row],[FECHA]],TASA[],2,FALSE)</f>
        <v>330.38</v>
      </c>
      <c r="Q909" s="4">
        <f t="shared" si="106"/>
        <v>-0.22513469338337672</v>
      </c>
      <c r="R909" t="s">
        <v>1465</v>
      </c>
    </row>
    <row r="910" spans="1:18" x14ac:dyDescent="0.25">
      <c r="A910" s="33">
        <v>46035</v>
      </c>
      <c r="B910" s="1">
        <v>73446</v>
      </c>
      <c r="C910" s="2" t="s">
        <v>1366</v>
      </c>
      <c r="D910" s="34">
        <v>-13704.16</v>
      </c>
      <c r="E910" t="s">
        <v>20</v>
      </c>
      <c r="F910" s="2" t="e">
        <f>VLOOKUP(Tabla3[[#This Row],[CONTABLE]],'SAPROV (2)'!L:M,2,FALSE)</f>
        <v>#N/A</v>
      </c>
      <c r="H910" t="s">
        <v>1278</v>
      </c>
      <c r="I910" s="2" t="str">
        <f>VLOOKUP(Tabla3[[#This Row],[Deposito]],'SAPROV (2)'!D:E,2,FALSE)</f>
        <v>06</v>
      </c>
      <c r="K910" s="2" t="s">
        <v>101</v>
      </c>
      <c r="L910" s="2" t="str">
        <f>VLOOKUP(Tabla3[[#This Row],[PROVEEDOR]],'SAPROV (2)'!A:B,2,FALSE)</f>
        <v>36</v>
      </c>
      <c r="M910" t="str">
        <f>VLOOKUP(Tabla3[[#This Row],[SERVICIO]],'SAPROV (2)'!I:J,2,FALSE)</f>
        <v>SERV0011</v>
      </c>
      <c r="N910" t="s">
        <v>927</v>
      </c>
      <c r="P910">
        <f>VLOOKUP(Tabla3[[#This Row],[FECHA]],TASA[],2,FALSE)</f>
        <v>330.38</v>
      </c>
      <c r="Q910" s="4">
        <f t="shared" si="106"/>
        <v>-41.479992735637751</v>
      </c>
      <c r="R910" t="s">
        <v>1465</v>
      </c>
    </row>
    <row r="911" spans="1:18" x14ac:dyDescent="0.25">
      <c r="A911" s="33">
        <v>46035</v>
      </c>
      <c r="B911" s="1">
        <v>73446</v>
      </c>
      <c r="C911" s="2" t="s">
        <v>1367</v>
      </c>
      <c r="D911" s="34">
        <v>-41.11</v>
      </c>
      <c r="E911" t="s">
        <v>20</v>
      </c>
      <c r="F911" s="2" t="e">
        <f>VLOOKUP(Tabla3[[#This Row],[CONTABLE]],'SAPROV (2)'!L:M,2,FALSE)</f>
        <v>#N/A</v>
      </c>
      <c r="H911" t="s">
        <v>588</v>
      </c>
      <c r="I911" s="2" t="str">
        <f>VLOOKUP(Tabla3[[#This Row],[Deposito]],'SAPROV (2)'!D:E,2,FALSE)</f>
        <v>A01</v>
      </c>
      <c r="K911" s="23" t="s">
        <v>23</v>
      </c>
      <c r="L911" s="23" t="str">
        <f>VLOOKUP(Tabla3[[#This Row],[PROVEEDOR]],'SAPROV (2)'!A:B,2,FALSE)</f>
        <v>04</v>
      </c>
      <c r="M911" t="str">
        <f>VLOOKUP(Tabla3[[#This Row],[SERVICIO]],'SAPROV (2)'!I:J,2,FALSE)</f>
        <v>SERV0060</v>
      </c>
      <c r="N911" t="s">
        <v>611</v>
      </c>
      <c r="P911">
        <f>VLOOKUP(Tabla3[[#This Row],[FECHA]],TASA[],2,FALSE)</f>
        <v>330.38</v>
      </c>
      <c r="Q911" s="4">
        <f t="shared" si="106"/>
        <v>-0.12443247169925541</v>
      </c>
      <c r="R911" t="s">
        <v>1465</v>
      </c>
    </row>
    <row r="912" spans="1:18" x14ac:dyDescent="0.25">
      <c r="A912" s="33">
        <v>46035</v>
      </c>
      <c r="B912" s="1">
        <v>73451</v>
      </c>
      <c r="C912" s="2" t="s">
        <v>1368</v>
      </c>
      <c r="D912" s="34">
        <v>-21699.360000000001</v>
      </c>
      <c r="E912" t="s">
        <v>20</v>
      </c>
      <c r="F912" s="2" t="e">
        <f>VLOOKUP(Tabla3[[#This Row],[CONTABLE]],'SAPROV (2)'!L:M,2,FALSE)</f>
        <v>#N/A</v>
      </c>
      <c r="H912" t="s">
        <v>1281</v>
      </c>
      <c r="I912" s="2" t="str">
        <f>VLOOKUP(Tabla3[[#This Row],[Deposito]],'SAPROV (2)'!D:E,2,FALSE)</f>
        <v>07</v>
      </c>
      <c r="K912" s="2" t="s">
        <v>101</v>
      </c>
      <c r="L912" s="23" t="str">
        <f>VLOOKUP(Tabla3[[#This Row],[PROVEEDOR]],'SAPROV (2)'!A:B,2,FALSE)</f>
        <v>36</v>
      </c>
      <c r="M912" t="str">
        <f>VLOOKUP(Tabla3[[#This Row],[SERVICIO]],'SAPROV (2)'!I:J,2,FALSE)</f>
        <v>SERV0011</v>
      </c>
      <c r="N912" t="s">
        <v>927</v>
      </c>
      <c r="P912">
        <f>VLOOKUP(Tabla3[[#This Row],[FECHA]],TASA[],2,FALSE)</f>
        <v>330.38</v>
      </c>
      <c r="Q912" s="4">
        <f t="shared" si="106"/>
        <v>-65.680004842908176</v>
      </c>
      <c r="R912" t="s">
        <v>1465</v>
      </c>
    </row>
    <row r="913" spans="1:18" x14ac:dyDescent="0.25">
      <c r="A913" s="33">
        <v>46035</v>
      </c>
      <c r="B913" s="1">
        <v>73451</v>
      </c>
      <c r="C913" s="2" t="s">
        <v>1369</v>
      </c>
      <c r="D913" s="34">
        <v>-65.099999999999994</v>
      </c>
      <c r="E913" t="s">
        <v>20</v>
      </c>
      <c r="F913" s="2" t="e">
        <f>VLOOKUP(Tabla3[[#This Row],[CONTABLE]],'SAPROV (2)'!L:M,2,FALSE)</f>
        <v>#N/A</v>
      </c>
      <c r="H913" t="s">
        <v>588</v>
      </c>
      <c r="I913" s="2" t="str">
        <f>VLOOKUP(Tabla3[[#This Row],[Deposito]],'SAPROV (2)'!D:E,2,FALSE)</f>
        <v>A01</v>
      </c>
      <c r="K913" s="23" t="s">
        <v>23</v>
      </c>
      <c r="L913" s="2" t="str">
        <f>VLOOKUP(Tabla3[[#This Row],[PROVEEDOR]],'SAPROV (2)'!A:B,2,FALSE)</f>
        <v>04</v>
      </c>
      <c r="M913" t="str">
        <f>VLOOKUP(Tabla3[[#This Row],[SERVICIO]],'SAPROV (2)'!I:J,2,FALSE)</f>
        <v>SERV0060</v>
      </c>
      <c r="N913" t="s">
        <v>611</v>
      </c>
      <c r="P913">
        <f>VLOOKUP(Tabla3[[#This Row],[FECHA]],TASA[],2,FALSE)</f>
        <v>330.38</v>
      </c>
      <c r="Q913" s="4">
        <f t="shared" si="106"/>
        <v>-0.19704582601852411</v>
      </c>
      <c r="R913" t="s">
        <v>1465</v>
      </c>
    </row>
    <row r="914" spans="1:18" x14ac:dyDescent="0.25">
      <c r="A914" s="33">
        <v>46035</v>
      </c>
      <c r="B914" s="1">
        <v>73453</v>
      </c>
      <c r="C914" s="2" t="s">
        <v>1370</v>
      </c>
      <c r="D914" s="34">
        <v>-13704.16</v>
      </c>
      <c r="E914" t="s">
        <v>20</v>
      </c>
      <c r="F914" s="2" t="e">
        <f>VLOOKUP(Tabla3[[#This Row],[CONTABLE]],'SAPROV (2)'!L:M,2,FALSE)</f>
        <v>#N/A</v>
      </c>
      <c r="H914" t="s">
        <v>1278</v>
      </c>
      <c r="I914" s="2" t="str">
        <f>VLOOKUP(Tabla3[[#This Row],[Deposito]],'SAPROV (2)'!D:E,2,FALSE)</f>
        <v>06</v>
      </c>
      <c r="K914" s="2" t="s">
        <v>101</v>
      </c>
      <c r="L914" s="23" t="str">
        <f>VLOOKUP(Tabla3[[#This Row],[PROVEEDOR]],'SAPROV (2)'!A:B,2,FALSE)</f>
        <v>36</v>
      </c>
      <c r="M914" t="str">
        <f>VLOOKUP(Tabla3[[#This Row],[SERVICIO]],'SAPROV (2)'!I:J,2,FALSE)</f>
        <v>SERV0011</v>
      </c>
      <c r="N914" t="s">
        <v>927</v>
      </c>
      <c r="P914">
        <f>VLOOKUP(Tabla3[[#This Row],[FECHA]],TASA[],2,FALSE)</f>
        <v>330.38</v>
      </c>
      <c r="Q914" s="4">
        <f t="shared" si="106"/>
        <v>-41.479992735637751</v>
      </c>
      <c r="R914" t="s">
        <v>1465</v>
      </c>
    </row>
    <row r="915" spans="1:18" x14ac:dyDescent="0.25">
      <c r="A915" s="33">
        <v>46035</v>
      </c>
      <c r="B915" s="1">
        <v>73453</v>
      </c>
      <c r="C915" s="2" t="s">
        <v>1371</v>
      </c>
      <c r="D915" s="34">
        <v>-41.11</v>
      </c>
      <c r="E915" t="s">
        <v>20</v>
      </c>
      <c r="F915" s="2" t="e">
        <f>VLOOKUP(Tabla3[[#This Row],[CONTABLE]],'SAPROV (2)'!L:M,2,FALSE)</f>
        <v>#N/A</v>
      </c>
      <c r="H915" t="s">
        <v>588</v>
      </c>
      <c r="I915" s="2" t="str">
        <f>VLOOKUP(Tabla3[[#This Row],[Deposito]],'SAPROV (2)'!D:E,2,FALSE)</f>
        <v>A01</v>
      </c>
      <c r="K915" s="23" t="s">
        <v>23</v>
      </c>
      <c r="L915" s="23" t="str">
        <f>VLOOKUP(Tabla3[[#This Row],[PROVEEDOR]],'SAPROV (2)'!A:B,2,FALSE)</f>
        <v>04</v>
      </c>
      <c r="M915" t="str">
        <f>VLOOKUP(Tabla3[[#This Row],[SERVICIO]],'SAPROV (2)'!I:J,2,FALSE)</f>
        <v>SERV0060</v>
      </c>
      <c r="N915" t="s">
        <v>611</v>
      </c>
      <c r="P915">
        <f>VLOOKUP(Tabla3[[#This Row],[FECHA]],TASA[],2,FALSE)</f>
        <v>330.38</v>
      </c>
      <c r="Q915" s="4">
        <f t="shared" si="106"/>
        <v>-0.12443247169925541</v>
      </c>
      <c r="R915" t="s">
        <v>1465</v>
      </c>
    </row>
    <row r="916" spans="1:18" x14ac:dyDescent="0.25">
      <c r="A916" s="33">
        <v>46035</v>
      </c>
      <c r="B916" s="1">
        <v>73456</v>
      </c>
      <c r="C916" s="2" t="s">
        <v>1372</v>
      </c>
      <c r="D916" s="34">
        <v>-29410.43</v>
      </c>
      <c r="E916" t="s">
        <v>20</v>
      </c>
      <c r="F916" s="2" t="e">
        <f>VLOOKUP(Tabla3[[#This Row],[CONTABLE]],'SAPROV (2)'!L:M,2,FALSE)</f>
        <v>#N/A</v>
      </c>
      <c r="H916" t="s">
        <v>1280</v>
      </c>
      <c r="I916" s="2" t="str">
        <f>VLOOKUP(Tabla3[[#This Row],[Deposito]],'SAPROV (2)'!D:E,2,FALSE)</f>
        <v>01</v>
      </c>
      <c r="K916" s="2" t="s">
        <v>101</v>
      </c>
      <c r="L916" s="2" t="str">
        <f>VLOOKUP(Tabla3[[#This Row],[PROVEEDOR]],'SAPROV (2)'!A:B,2,FALSE)</f>
        <v>36</v>
      </c>
      <c r="M916" t="str">
        <f>VLOOKUP(Tabla3[[#This Row],[SERVICIO]],'SAPROV (2)'!I:J,2,FALSE)</f>
        <v>SERV0011</v>
      </c>
      <c r="N916" t="s">
        <v>927</v>
      </c>
      <c r="P916">
        <f>VLOOKUP(Tabla3[[#This Row],[FECHA]],TASA[],2,FALSE)</f>
        <v>330.38</v>
      </c>
      <c r="Q916" s="4">
        <f t="shared" si="106"/>
        <v>-89.020007264362249</v>
      </c>
      <c r="R916" t="s">
        <v>1465</v>
      </c>
    </row>
    <row r="917" spans="1:18" x14ac:dyDescent="0.25">
      <c r="A917" s="33">
        <v>46035</v>
      </c>
      <c r="B917" s="1">
        <v>73456</v>
      </c>
      <c r="C917" s="2" t="s">
        <v>1373</v>
      </c>
      <c r="D917" s="34">
        <v>-88.23</v>
      </c>
      <c r="E917" t="s">
        <v>20</v>
      </c>
      <c r="F917" s="2" t="e">
        <f>VLOOKUP(Tabla3[[#This Row],[CONTABLE]],'SAPROV (2)'!L:M,2,FALSE)</f>
        <v>#N/A</v>
      </c>
      <c r="H917" t="s">
        <v>588</v>
      </c>
      <c r="I917" s="2" t="str">
        <f>VLOOKUP(Tabla3[[#This Row],[Deposito]],'SAPROV (2)'!D:E,2,FALSE)</f>
        <v>A01</v>
      </c>
      <c r="K917" s="23" t="s">
        <v>23</v>
      </c>
      <c r="L917" s="23" t="str">
        <f>VLOOKUP(Tabla3[[#This Row],[PROVEEDOR]],'SAPROV (2)'!A:B,2,FALSE)</f>
        <v>04</v>
      </c>
      <c r="M917" t="str">
        <f>VLOOKUP(Tabla3[[#This Row],[SERVICIO]],'SAPROV (2)'!I:J,2,FALSE)</f>
        <v>SERV0060</v>
      </c>
      <c r="N917" t="s">
        <v>611</v>
      </c>
      <c r="P917">
        <f>VLOOKUP(Tabla3[[#This Row],[FECHA]],TASA[],2,FALSE)</f>
        <v>330.38</v>
      </c>
      <c r="Q917" s="4">
        <f t="shared" si="106"/>
        <v>-0.26705611719837763</v>
      </c>
      <c r="R917" t="s">
        <v>1465</v>
      </c>
    </row>
    <row r="918" spans="1:18" x14ac:dyDescent="0.25">
      <c r="A918" s="33">
        <v>46035</v>
      </c>
      <c r="B918" s="1">
        <v>73460</v>
      </c>
      <c r="C918" s="2" t="s">
        <v>1374</v>
      </c>
      <c r="D918" s="34">
        <v>-29410.43</v>
      </c>
      <c r="E918" t="s">
        <v>20</v>
      </c>
      <c r="F918" s="2" t="e">
        <f>VLOOKUP(Tabla3[[#This Row],[CONTABLE]],'SAPROV (2)'!L:M,2,FALSE)</f>
        <v>#N/A</v>
      </c>
      <c r="H918" t="s">
        <v>1274</v>
      </c>
      <c r="I918" s="2" t="str">
        <f>VLOOKUP(Tabla3[[#This Row],[Deposito]],'SAPROV (2)'!D:E,2,FALSE)</f>
        <v>02</v>
      </c>
      <c r="K918" s="2" t="s">
        <v>101</v>
      </c>
      <c r="L918" s="23" t="str">
        <f>VLOOKUP(Tabla3[[#This Row],[PROVEEDOR]],'SAPROV (2)'!A:B,2,FALSE)</f>
        <v>36</v>
      </c>
      <c r="M918" t="str">
        <f>VLOOKUP(Tabla3[[#This Row],[SERVICIO]],'SAPROV (2)'!I:J,2,FALSE)</f>
        <v>SERV0011</v>
      </c>
      <c r="N918" t="s">
        <v>927</v>
      </c>
      <c r="P918">
        <f>VLOOKUP(Tabla3[[#This Row],[FECHA]],TASA[],2,FALSE)</f>
        <v>330.38</v>
      </c>
      <c r="Q918" s="4">
        <f t="shared" si="106"/>
        <v>-89.020007264362249</v>
      </c>
      <c r="R918" t="s">
        <v>1465</v>
      </c>
    </row>
    <row r="919" spans="1:18" x14ac:dyDescent="0.25">
      <c r="A919" s="33">
        <v>46035</v>
      </c>
      <c r="B919" s="1">
        <v>73460</v>
      </c>
      <c r="C919" s="2" t="s">
        <v>1375</v>
      </c>
      <c r="D919" s="34">
        <v>-88.23</v>
      </c>
      <c r="E919" t="s">
        <v>20</v>
      </c>
      <c r="F919" s="2" t="e">
        <f>VLOOKUP(Tabla3[[#This Row],[CONTABLE]],'SAPROV (2)'!L:M,2,FALSE)</f>
        <v>#N/A</v>
      </c>
      <c r="H919" t="s">
        <v>588</v>
      </c>
      <c r="I919" s="2" t="str">
        <f>VLOOKUP(Tabla3[[#This Row],[Deposito]],'SAPROV (2)'!D:E,2,FALSE)</f>
        <v>A01</v>
      </c>
      <c r="K919" s="23" t="s">
        <v>23</v>
      </c>
      <c r="L919" s="2" t="str">
        <f>VLOOKUP(Tabla3[[#This Row],[PROVEEDOR]],'SAPROV (2)'!A:B,2,FALSE)</f>
        <v>04</v>
      </c>
      <c r="M919" t="str">
        <f>VLOOKUP(Tabla3[[#This Row],[SERVICIO]],'SAPROV (2)'!I:J,2,FALSE)</f>
        <v>SERV0060</v>
      </c>
      <c r="N919" t="s">
        <v>611</v>
      </c>
      <c r="P919">
        <f>VLOOKUP(Tabla3[[#This Row],[FECHA]],TASA[],2,FALSE)</f>
        <v>330.38</v>
      </c>
      <c r="Q919" s="4">
        <f t="shared" si="106"/>
        <v>-0.26705611719837763</v>
      </c>
      <c r="R919" t="s">
        <v>1465</v>
      </c>
    </row>
    <row r="920" spans="1:18" x14ac:dyDescent="0.25">
      <c r="A920" s="33">
        <v>46035</v>
      </c>
      <c r="B920" s="1">
        <v>73462</v>
      </c>
      <c r="C920" s="2" t="s">
        <v>1376</v>
      </c>
      <c r="D920" s="34">
        <v>-29410.43</v>
      </c>
      <c r="E920" t="s">
        <v>20</v>
      </c>
      <c r="F920" s="2" t="e">
        <f>VLOOKUP(Tabla3[[#This Row],[CONTABLE]],'SAPROV (2)'!L:M,2,FALSE)</f>
        <v>#N/A</v>
      </c>
      <c r="H920" t="s">
        <v>1280</v>
      </c>
      <c r="I920" s="2" t="str">
        <f>VLOOKUP(Tabla3[[#This Row],[Deposito]],'SAPROV (2)'!D:E,2,FALSE)</f>
        <v>01</v>
      </c>
      <c r="K920" s="2" t="s">
        <v>101</v>
      </c>
      <c r="L920" s="23" t="str">
        <f>VLOOKUP(Tabla3[[#This Row],[PROVEEDOR]],'SAPROV (2)'!A:B,2,FALSE)</f>
        <v>36</v>
      </c>
      <c r="M920" t="str">
        <f>VLOOKUP(Tabla3[[#This Row],[SERVICIO]],'SAPROV (2)'!I:J,2,FALSE)</f>
        <v>SERV0011</v>
      </c>
      <c r="N920" t="s">
        <v>927</v>
      </c>
      <c r="P920">
        <f>VLOOKUP(Tabla3[[#This Row],[FECHA]],TASA[],2,FALSE)</f>
        <v>330.38</v>
      </c>
      <c r="Q920" s="4">
        <f t="shared" si="106"/>
        <v>-89.020007264362249</v>
      </c>
      <c r="R920" t="s">
        <v>1465</v>
      </c>
    </row>
    <row r="921" spans="1:18" x14ac:dyDescent="0.25">
      <c r="A921" s="33">
        <v>46035</v>
      </c>
      <c r="B921" s="1">
        <v>73462</v>
      </c>
      <c r="C921" s="2" t="s">
        <v>1377</v>
      </c>
      <c r="D921" s="34">
        <v>-88.23</v>
      </c>
      <c r="E921" t="s">
        <v>20</v>
      </c>
      <c r="F921" s="2" t="e">
        <f>VLOOKUP(Tabla3[[#This Row],[CONTABLE]],'SAPROV (2)'!L:M,2,FALSE)</f>
        <v>#N/A</v>
      </c>
      <c r="H921" t="s">
        <v>588</v>
      </c>
      <c r="I921" s="2" t="str">
        <f>VLOOKUP(Tabla3[[#This Row],[Deposito]],'SAPROV (2)'!D:E,2,FALSE)</f>
        <v>A01</v>
      </c>
      <c r="K921" s="23" t="s">
        <v>23</v>
      </c>
      <c r="L921" s="23" t="str">
        <f>VLOOKUP(Tabla3[[#This Row],[PROVEEDOR]],'SAPROV (2)'!A:B,2,FALSE)</f>
        <v>04</v>
      </c>
      <c r="M921" t="str">
        <f>VLOOKUP(Tabla3[[#This Row],[SERVICIO]],'SAPROV (2)'!I:J,2,FALSE)</f>
        <v>SERV0060</v>
      </c>
      <c r="N921" t="s">
        <v>611</v>
      </c>
      <c r="P921">
        <f>VLOOKUP(Tabla3[[#This Row],[FECHA]],TASA[],2,FALSE)</f>
        <v>330.38</v>
      </c>
      <c r="Q921" s="4">
        <f t="shared" si="106"/>
        <v>-0.26705611719837763</v>
      </c>
      <c r="R921" t="s">
        <v>1465</v>
      </c>
    </row>
    <row r="922" spans="1:18" x14ac:dyDescent="0.25">
      <c r="A922" s="33">
        <v>46052</v>
      </c>
      <c r="B922" s="1">
        <v>187310</v>
      </c>
      <c r="C922" s="2" t="s">
        <v>1378</v>
      </c>
      <c r="D922" s="34">
        <v>-14134.26</v>
      </c>
      <c r="E922" t="s">
        <v>20</v>
      </c>
      <c r="F922" s="2" t="e">
        <f>VLOOKUP(Tabla3[[#This Row],[CONTABLE]],'SAPROV (2)'!L:M,2,FALSE)</f>
        <v>#N/A</v>
      </c>
      <c r="H922" t="s">
        <v>1281</v>
      </c>
      <c r="I922" s="2" t="str">
        <f>VLOOKUP(Tabla3[[#This Row],[Deposito]],'SAPROV (2)'!D:E,2,FALSE)</f>
        <v>07</v>
      </c>
      <c r="K922" s="2" t="s">
        <v>101</v>
      </c>
      <c r="L922" s="2" t="str">
        <f>VLOOKUP(Tabla3[[#This Row],[PROVEEDOR]],'SAPROV (2)'!A:B,2,FALSE)</f>
        <v>36</v>
      </c>
      <c r="M922" t="str">
        <f>VLOOKUP(Tabla3[[#This Row],[SERVICIO]],'SAPROV (2)'!I:J,2,FALSE)</f>
        <v>SERV0011</v>
      </c>
      <c r="N922" t="s">
        <v>927</v>
      </c>
      <c r="P922">
        <f>VLOOKUP(Tabla3[[#This Row],[FECHA]],TASA[],2,FALSE)</f>
        <v>367.31</v>
      </c>
      <c r="Q922" s="4">
        <f t="shared" si="106"/>
        <v>-38.480466091312515</v>
      </c>
      <c r="R922" t="s">
        <v>1465</v>
      </c>
    </row>
    <row r="923" spans="1:18" x14ac:dyDescent="0.25">
      <c r="A923" s="33">
        <v>46035</v>
      </c>
      <c r="B923" s="1">
        <v>73466</v>
      </c>
      <c r="C923" s="2" t="s">
        <v>1379</v>
      </c>
      <c r="D923" s="34">
        <v>-47.92</v>
      </c>
      <c r="E923" t="s">
        <v>20</v>
      </c>
      <c r="F923" s="2" t="e">
        <f>VLOOKUP(Tabla3[[#This Row],[CONTABLE]],'SAPROV (2)'!L:M,2,FALSE)</f>
        <v>#N/A</v>
      </c>
      <c r="H923" t="s">
        <v>588</v>
      </c>
      <c r="I923" s="2" t="str">
        <f>VLOOKUP(Tabla3[[#This Row],[Deposito]],'SAPROV (2)'!D:E,2,FALSE)</f>
        <v>A01</v>
      </c>
      <c r="K923" s="23" t="s">
        <v>23</v>
      </c>
      <c r="L923" s="23" t="str">
        <f>VLOOKUP(Tabla3[[#This Row],[PROVEEDOR]],'SAPROV (2)'!A:B,2,FALSE)</f>
        <v>04</v>
      </c>
      <c r="M923" t="str">
        <f>VLOOKUP(Tabla3[[#This Row],[SERVICIO]],'SAPROV (2)'!I:J,2,FALSE)</f>
        <v>SERV0060</v>
      </c>
      <c r="N923" t="s">
        <v>611</v>
      </c>
      <c r="P923">
        <f>VLOOKUP(Tabla3[[#This Row],[FECHA]],TASA[],2,FALSE)</f>
        <v>330.38</v>
      </c>
      <c r="Q923" s="4">
        <f t="shared" si="106"/>
        <v>-0.14504509958229916</v>
      </c>
      <c r="R923" t="s">
        <v>1465</v>
      </c>
    </row>
    <row r="924" spans="1:18" x14ac:dyDescent="0.25">
      <c r="A924" s="33">
        <v>46035</v>
      </c>
      <c r="B924" s="1">
        <v>73468</v>
      </c>
      <c r="C924" s="2" t="s">
        <v>1380</v>
      </c>
      <c r="D924" s="34">
        <v>-4162.79</v>
      </c>
      <c r="E924" t="s">
        <v>20</v>
      </c>
      <c r="F924" s="2" t="e">
        <f>VLOOKUP(Tabla3[[#This Row],[CONTABLE]],'SAPROV (2)'!L:M,2,FALSE)</f>
        <v>#N/A</v>
      </c>
      <c r="H924" t="s">
        <v>1280</v>
      </c>
      <c r="I924" s="2" t="str">
        <f>VLOOKUP(Tabla3[[#This Row],[Deposito]],'SAPROV (2)'!D:E,2,FALSE)</f>
        <v>01</v>
      </c>
      <c r="K924" s="2" t="s">
        <v>101</v>
      </c>
      <c r="L924" s="23" t="str">
        <f>VLOOKUP(Tabla3[[#This Row],[PROVEEDOR]],'SAPROV (2)'!A:B,2,FALSE)</f>
        <v>36</v>
      </c>
      <c r="M924" t="str">
        <f>VLOOKUP(Tabla3[[#This Row],[SERVICIO]],'SAPROV (2)'!I:J,2,FALSE)</f>
        <v>SERV0011</v>
      </c>
      <c r="N924" t="s">
        <v>927</v>
      </c>
      <c r="P924">
        <f>VLOOKUP(Tabla3[[#This Row],[FECHA]],TASA[],2,FALSE)</f>
        <v>330.38</v>
      </c>
      <c r="Q924" s="4">
        <f t="shared" si="106"/>
        <v>-12.600006053635209</v>
      </c>
      <c r="R924" t="s">
        <v>1465</v>
      </c>
    </row>
    <row r="925" spans="1:18" x14ac:dyDescent="0.25">
      <c r="A925" s="33">
        <v>46035</v>
      </c>
      <c r="B925" s="1">
        <v>73468</v>
      </c>
      <c r="C925" s="2" t="s">
        <v>1381</v>
      </c>
      <c r="D925" s="34">
        <v>-12.49</v>
      </c>
      <c r="E925" t="s">
        <v>20</v>
      </c>
      <c r="F925" s="2" t="e">
        <f>VLOOKUP(Tabla3[[#This Row],[CONTABLE]],'SAPROV (2)'!L:M,2,FALSE)</f>
        <v>#N/A</v>
      </c>
      <c r="H925" t="s">
        <v>588</v>
      </c>
      <c r="I925" s="2" t="str">
        <f>VLOOKUP(Tabla3[[#This Row],[Deposito]],'SAPROV (2)'!D:E,2,FALSE)</f>
        <v>A01</v>
      </c>
      <c r="K925" s="23" t="s">
        <v>23</v>
      </c>
      <c r="L925" s="2" t="str">
        <f>VLOOKUP(Tabla3[[#This Row],[PROVEEDOR]],'SAPROV (2)'!A:B,2,FALSE)</f>
        <v>04</v>
      </c>
      <c r="M925" t="str">
        <f>VLOOKUP(Tabla3[[#This Row],[SERVICIO]],'SAPROV (2)'!I:J,2,FALSE)</f>
        <v>SERV0060</v>
      </c>
      <c r="N925" t="s">
        <v>611</v>
      </c>
      <c r="P925">
        <f>VLOOKUP(Tabla3[[#This Row],[FECHA]],TASA[],2,FALSE)</f>
        <v>330.38</v>
      </c>
      <c r="Q925" s="4">
        <f t="shared" si="106"/>
        <v>-3.7804951873600098E-2</v>
      </c>
      <c r="R925" t="s">
        <v>1465</v>
      </c>
    </row>
    <row r="926" spans="1:18" x14ac:dyDescent="0.25">
      <c r="A926" s="33">
        <v>46035</v>
      </c>
      <c r="B926" s="1">
        <v>73471</v>
      </c>
      <c r="C926" s="2" t="s">
        <v>1382</v>
      </c>
      <c r="D926" s="34">
        <v>-21699.360000000001</v>
      </c>
      <c r="E926" t="s">
        <v>20</v>
      </c>
      <c r="F926" s="2" t="e">
        <f>VLOOKUP(Tabla3[[#This Row],[CONTABLE]],'SAPROV (2)'!L:M,2,FALSE)</f>
        <v>#N/A</v>
      </c>
      <c r="H926" t="s">
        <v>1281</v>
      </c>
      <c r="I926" s="2" t="str">
        <f>VLOOKUP(Tabla3[[#This Row],[Deposito]],'SAPROV (2)'!D:E,2,FALSE)</f>
        <v>07</v>
      </c>
      <c r="K926" s="2" t="s">
        <v>101</v>
      </c>
      <c r="L926" s="23" t="str">
        <f>VLOOKUP(Tabla3[[#This Row],[PROVEEDOR]],'SAPROV (2)'!A:B,2,FALSE)</f>
        <v>36</v>
      </c>
      <c r="M926" t="str">
        <f>VLOOKUP(Tabla3[[#This Row],[SERVICIO]],'SAPROV (2)'!I:J,2,FALSE)</f>
        <v>SERV0011</v>
      </c>
      <c r="N926" t="s">
        <v>927</v>
      </c>
      <c r="P926">
        <f>VLOOKUP(Tabla3[[#This Row],[FECHA]],TASA[],2,FALSE)</f>
        <v>330.38</v>
      </c>
      <c r="Q926" s="4">
        <f t="shared" si="106"/>
        <v>-65.680004842908176</v>
      </c>
      <c r="R926" t="s">
        <v>1465</v>
      </c>
    </row>
    <row r="927" spans="1:18" x14ac:dyDescent="0.25">
      <c r="A927" s="33">
        <v>46035</v>
      </c>
      <c r="B927" s="1">
        <v>73471</v>
      </c>
      <c r="C927" s="2" t="s">
        <v>1383</v>
      </c>
      <c r="D927" s="34">
        <v>-65.099999999999994</v>
      </c>
      <c r="E927" t="s">
        <v>20</v>
      </c>
      <c r="F927" s="2" t="e">
        <f>VLOOKUP(Tabla3[[#This Row],[CONTABLE]],'SAPROV (2)'!L:M,2,FALSE)</f>
        <v>#N/A</v>
      </c>
      <c r="H927" t="s">
        <v>588</v>
      </c>
      <c r="I927" s="2" t="str">
        <f>VLOOKUP(Tabla3[[#This Row],[Deposito]],'SAPROV (2)'!D:E,2,FALSE)</f>
        <v>A01</v>
      </c>
      <c r="K927" s="23" t="s">
        <v>23</v>
      </c>
      <c r="L927" s="23" t="str">
        <f>VLOOKUP(Tabla3[[#This Row],[PROVEEDOR]],'SAPROV (2)'!A:B,2,FALSE)</f>
        <v>04</v>
      </c>
      <c r="M927" t="str">
        <f>VLOOKUP(Tabla3[[#This Row],[SERVICIO]],'SAPROV (2)'!I:J,2,FALSE)</f>
        <v>SERV0060</v>
      </c>
      <c r="N927" t="s">
        <v>611</v>
      </c>
      <c r="P927">
        <f>VLOOKUP(Tabla3[[#This Row],[FECHA]],TASA[],2,FALSE)</f>
        <v>330.38</v>
      </c>
      <c r="Q927" s="4">
        <f t="shared" si="106"/>
        <v>-0.19704582601852411</v>
      </c>
      <c r="R927" t="s">
        <v>1465</v>
      </c>
    </row>
    <row r="928" spans="1:18" x14ac:dyDescent="0.25">
      <c r="A928" s="33">
        <v>46035</v>
      </c>
      <c r="B928" s="1">
        <v>73473</v>
      </c>
      <c r="C928" s="2" t="s">
        <v>1384</v>
      </c>
      <c r="D928" s="34">
        <v>-2980.03</v>
      </c>
      <c r="E928" t="s">
        <v>20</v>
      </c>
      <c r="F928" s="2" t="e">
        <f>VLOOKUP(Tabla3[[#This Row],[CONTABLE]],'SAPROV (2)'!L:M,2,FALSE)</f>
        <v>#N/A</v>
      </c>
      <c r="H928" t="s">
        <v>1278</v>
      </c>
      <c r="I928" s="2" t="str">
        <f>VLOOKUP(Tabla3[[#This Row],[Deposito]],'SAPROV (2)'!D:E,2,FALSE)</f>
        <v>06</v>
      </c>
      <c r="K928" s="2" t="s">
        <v>101</v>
      </c>
      <c r="L928" s="2" t="str">
        <f>VLOOKUP(Tabla3[[#This Row],[PROVEEDOR]],'SAPROV (2)'!A:B,2,FALSE)</f>
        <v>36</v>
      </c>
      <c r="M928" t="str">
        <f>VLOOKUP(Tabla3[[#This Row],[SERVICIO]],'SAPROV (2)'!I:J,2,FALSE)</f>
        <v>SERV0011</v>
      </c>
      <c r="N928" t="s">
        <v>927</v>
      </c>
      <c r="P928">
        <f>VLOOKUP(Tabla3[[#This Row],[FECHA]],TASA[],2,FALSE)</f>
        <v>330.38</v>
      </c>
      <c r="Q928" s="4">
        <f t="shared" si="106"/>
        <v>-9.0200072643622509</v>
      </c>
      <c r="R928" t="s">
        <v>1465</v>
      </c>
    </row>
    <row r="929" spans="1:18" x14ac:dyDescent="0.25">
      <c r="A929" s="33">
        <v>46035</v>
      </c>
      <c r="B929" s="1">
        <v>73473</v>
      </c>
      <c r="C929" s="2" t="s">
        <v>1385</v>
      </c>
      <c r="D929" s="34">
        <v>-8.94</v>
      </c>
      <c r="E929" t="s">
        <v>20</v>
      </c>
      <c r="F929" s="2" t="e">
        <f>VLOOKUP(Tabla3[[#This Row],[CONTABLE]],'SAPROV (2)'!L:M,2,FALSE)</f>
        <v>#N/A</v>
      </c>
      <c r="H929" t="s">
        <v>588</v>
      </c>
      <c r="I929" s="2" t="str">
        <f>VLOOKUP(Tabla3[[#This Row],[Deposito]],'SAPROV (2)'!D:E,2,FALSE)</f>
        <v>A01</v>
      </c>
      <c r="K929" s="23" t="s">
        <v>23</v>
      </c>
      <c r="L929" s="23" t="str">
        <f>VLOOKUP(Tabla3[[#This Row],[PROVEEDOR]],'SAPROV (2)'!A:B,2,FALSE)</f>
        <v>04</v>
      </c>
      <c r="M929" t="str">
        <f>VLOOKUP(Tabla3[[#This Row],[SERVICIO]],'SAPROV (2)'!I:J,2,FALSE)</f>
        <v>SERV0060</v>
      </c>
      <c r="N929" t="s">
        <v>611</v>
      </c>
      <c r="P929">
        <f>VLOOKUP(Tabla3[[#This Row],[FECHA]],TASA[],2,FALSE)</f>
        <v>330.38</v>
      </c>
      <c r="Q929" s="4">
        <f t="shared" si="106"/>
        <v>-2.7059749379502389E-2</v>
      </c>
      <c r="R929" t="s">
        <v>1465</v>
      </c>
    </row>
    <row r="930" spans="1:18" x14ac:dyDescent="0.25">
      <c r="A930" s="33">
        <v>46035</v>
      </c>
      <c r="B930" s="1">
        <v>73477</v>
      </c>
      <c r="C930" s="2" t="s">
        <v>1386</v>
      </c>
      <c r="D930" s="34">
        <v>-82595</v>
      </c>
      <c r="E930" t="s">
        <v>20</v>
      </c>
      <c r="F930" s="2" t="e">
        <f>VLOOKUP(Tabla3[[#This Row],[CONTABLE]],'SAPROV (2)'!L:M,2,FALSE)</f>
        <v>#N/A</v>
      </c>
      <c r="H930" t="s">
        <v>588</v>
      </c>
      <c r="I930" s="2" t="str">
        <f>VLOOKUP(Tabla3[[#This Row],[Deposito]],'SAPROV (2)'!D:E,2,FALSE)</f>
        <v>A01</v>
      </c>
      <c r="K930" s="2" t="s">
        <v>101</v>
      </c>
      <c r="L930" s="23" t="str">
        <f>VLOOKUP(Tabla3[[#This Row],[PROVEEDOR]],'SAPROV (2)'!A:B,2,FALSE)</f>
        <v>36</v>
      </c>
      <c r="M930" t="str">
        <f>VLOOKUP(Tabla3[[#This Row],[SERVICIO]],'SAPROV (2)'!I:J,2,FALSE)</f>
        <v>SERV0011</v>
      </c>
      <c r="N930" t="s">
        <v>927</v>
      </c>
      <c r="P930">
        <f>VLOOKUP(Tabla3[[#This Row],[FECHA]],TASA[],2,FALSE)</f>
        <v>330.38</v>
      </c>
      <c r="Q930" s="4">
        <f t="shared" si="106"/>
        <v>-250</v>
      </c>
      <c r="R930" t="s">
        <v>1465</v>
      </c>
    </row>
    <row r="931" spans="1:18" x14ac:dyDescent="0.25">
      <c r="A931" s="33">
        <v>46035</v>
      </c>
      <c r="B931" s="1">
        <v>73477</v>
      </c>
      <c r="C931" s="2" t="s">
        <v>1387</v>
      </c>
      <c r="D931" s="34">
        <v>-247.79</v>
      </c>
      <c r="E931" t="s">
        <v>20</v>
      </c>
      <c r="F931" s="2" t="e">
        <f>VLOOKUP(Tabla3[[#This Row],[CONTABLE]],'SAPROV (2)'!L:M,2,FALSE)</f>
        <v>#N/A</v>
      </c>
      <c r="H931" t="s">
        <v>588</v>
      </c>
      <c r="I931" s="2" t="str">
        <f>VLOOKUP(Tabla3[[#This Row],[Deposito]],'SAPROV (2)'!D:E,2,FALSE)</f>
        <v>A01</v>
      </c>
      <c r="K931" s="23" t="s">
        <v>23</v>
      </c>
      <c r="L931" s="2" t="str">
        <f>VLOOKUP(Tabla3[[#This Row],[PROVEEDOR]],'SAPROV (2)'!A:B,2,FALSE)</f>
        <v>04</v>
      </c>
      <c r="M931" t="str">
        <f>VLOOKUP(Tabla3[[#This Row],[SERVICIO]],'SAPROV (2)'!I:J,2,FALSE)</f>
        <v>SERV0060</v>
      </c>
      <c r="N931" t="s">
        <v>611</v>
      </c>
      <c r="P931">
        <f>VLOOKUP(Tabla3[[#This Row],[FECHA]],TASA[],2,FALSE)</f>
        <v>330.38</v>
      </c>
      <c r="Q931" s="4">
        <f t="shared" si="106"/>
        <v>-0.7500151340880199</v>
      </c>
      <c r="R931" t="s">
        <v>1465</v>
      </c>
    </row>
    <row r="932" spans="1:18" x14ac:dyDescent="0.25">
      <c r="A932" s="33">
        <v>46035</v>
      </c>
      <c r="B932" s="1">
        <v>73479</v>
      </c>
      <c r="C932" s="2" t="s">
        <v>1388</v>
      </c>
      <c r="D932" s="34">
        <v>-49557</v>
      </c>
      <c r="E932" t="s">
        <v>20</v>
      </c>
      <c r="F932" s="2" t="e">
        <f>VLOOKUP(Tabla3[[#This Row],[CONTABLE]],'SAPROV (2)'!L:M,2,FALSE)</f>
        <v>#N/A</v>
      </c>
      <c r="H932" t="s">
        <v>588</v>
      </c>
      <c r="I932" s="2" t="str">
        <f>VLOOKUP(Tabla3[[#This Row],[Deposito]],'SAPROV (2)'!D:E,2,FALSE)</f>
        <v>A01</v>
      </c>
      <c r="K932" s="2" t="s">
        <v>101</v>
      </c>
      <c r="L932" s="23" t="str">
        <f>VLOOKUP(Tabla3[[#This Row],[PROVEEDOR]],'SAPROV (2)'!A:B,2,FALSE)</f>
        <v>36</v>
      </c>
      <c r="M932" t="str">
        <f>VLOOKUP(Tabla3[[#This Row],[SERVICIO]],'SAPROV (2)'!I:J,2,FALSE)</f>
        <v>SERV0011</v>
      </c>
      <c r="N932" t="s">
        <v>927</v>
      </c>
      <c r="P932">
        <f>VLOOKUP(Tabla3[[#This Row],[FECHA]],TASA[],2,FALSE)</f>
        <v>330.38</v>
      </c>
      <c r="Q932" s="4">
        <f t="shared" si="106"/>
        <v>-150</v>
      </c>
      <c r="R932" t="s">
        <v>1465</v>
      </c>
    </row>
    <row r="933" spans="1:18" x14ac:dyDescent="0.25">
      <c r="A933" s="33">
        <v>46035</v>
      </c>
      <c r="B933" s="1">
        <v>73479</v>
      </c>
      <c r="C933" s="2" t="s">
        <v>1389</v>
      </c>
      <c r="D933" s="34">
        <v>-148.66999999999999</v>
      </c>
      <c r="E933" t="s">
        <v>20</v>
      </c>
      <c r="F933" s="2" t="e">
        <f>VLOOKUP(Tabla3[[#This Row],[CONTABLE]],'SAPROV (2)'!L:M,2,FALSE)</f>
        <v>#N/A</v>
      </c>
      <c r="H933" t="s">
        <v>588</v>
      </c>
      <c r="I933" s="2" t="str">
        <f>VLOOKUP(Tabla3[[#This Row],[Deposito]],'SAPROV (2)'!D:E,2,FALSE)</f>
        <v>A01</v>
      </c>
      <c r="K933" s="23" t="s">
        <v>23</v>
      </c>
      <c r="L933" s="23" t="str">
        <f>VLOOKUP(Tabla3[[#This Row],[PROVEEDOR]],'SAPROV (2)'!A:B,2,FALSE)</f>
        <v>04</v>
      </c>
      <c r="M933" t="str">
        <f>VLOOKUP(Tabla3[[#This Row],[SERVICIO]],'SAPROV (2)'!I:J,2,FALSE)</f>
        <v>SERV0060</v>
      </c>
      <c r="N933" t="s">
        <v>611</v>
      </c>
      <c r="P933">
        <f>VLOOKUP(Tabla3[[#This Row],[FECHA]],TASA[],2,FALSE)</f>
        <v>330.38</v>
      </c>
      <c r="Q933" s="4">
        <f t="shared" si="106"/>
        <v>-0.44999697318239601</v>
      </c>
      <c r="R933" t="s">
        <v>1465</v>
      </c>
    </row>
    <row r="934" spans="1:18" x14ac:dyDescent="0.25">
      <c r="A934" s="33">
        <v>46035</v>
      </c>
      <c r="B934" s="1">
        <v>1301</v>
      </c>
      <c r="C934" s="2" t="s">
        <v>1390</v>
      </c>
      <c r="D934" s="34">
        <v>-11031.39</v>
      </c>
      <c r="E934" t="s">
        <v>20</v>
      </c>
      <c r="F934" s="2" t="e">
        <f>VLOOKUP(Tabla3[[#This Row],[CONTABLE]],'SAPROV (2)'!L:M,2,FALSE)</f>
        <v>#N/A</v>
      </c>
      <c r="H934" t="s">
        <v>1278</v>
      </c>
      <c r="I934" s="2" t="str">
        <f>VLOOKUP(Tabla3[[#This Row],[Deposito]],'SAPROV (2)'!D:E,2,FALSE)</f>
        <v>06</v>
      </c>
      <c r="K934" s="2" t="s">
        <v>101</v>
      </c>
      <c r="L934" s="2" t="str">
        <f>VLOOKUP(Tabla3[[#This Row],[PROVEEDOR]],'SAPROV (2)'!A:B,2,FALSE)</f>
        <v>36</v>
      </c>
      <c r="M934" t="str">
        <f>VLOOKUP(Tabla3[[#This Row],[SERVICIO]],'SAPROV (2)'!I:J,2,FALSE)</f>
        <v>SERV0011</v>
      </c>
      <c r="N934" t="s">
        <v>927</v>
      </c>
      <c r="P934">
        <f>VLOOKUP(Tabla3[[#This Row],[FECHA]],TASA[],2,FALSE)</f>
        <v>330.38</v>
      </c>
      <c r="Q934" s="4">
        <f t="shared" si="106"/>
        <v>-33.390005448271687</v>
      </c>
      <c r="R934" t="s">
        <v>1465</v>
      </c>
    </row>
    <row r="935" spans="1:18" x14ac:dyDescent="0.25">
      <c r="A935" s="33">
        <v>46035</v>
      </c>
      <c r="B935" s="1">
        <v>1301</v>
      </c>
      <c r="C935" s="2" t="s">
        <v>1391</v>
      </c>
      <c r="D935" s="34">
        <v>-17483.71</v>
      </c>
      <c r="E935" t="s">
        <v>20</v>
      </c>
      <c r="F935" s="2" t="e">
        <f>VLOOKUP(Tabla3[[#This Row],[CONTABLE]],'SAPROV (2)'!L:M,2,FALSE)</f>
        <v>#N/A</v>
      </c>
      <c r="H935" t="s">
        <v>1280</v>
      </c>
      <c r="I935" s="2" t="str">
        <f>VLOOKUP(Tabla3[[#This Row],[Deposito]],'SAPROV (2)'!D:E,2,FALSE)</f>
        <v>01</v>
      </c>
      <c r="K935" s="2" t="s">
        <v>101</v>
      </c>
      <c r="L935" s="23" t="str">
        <f>VLOOKUP(Tabla3[[#This Row],[PROVEEDOR]],'SAPROV (2)'!A:B,2,FALSE)</f>
        <v>36</v>
      </c>
      <c r="M935" t="str">
        <f>VLOOKUP(Tabla3[[#This Row],[SERVICIO]],'SAPROV (2)'!I:J,2,FALSE)</f>
        <v>SERV0011</v>
      </c>
      <c r="N935" t="s">
        <v>927</v>
      </c>
      <c r="P935">
        <f>VLOOKUP(Tabla3[[#This Row],[FECHA]],TASA[],2,FALSE)</f>
        <v>330.38</v>
      </c>
      <c r="Q935" s="4">
        <f t="shared" si="106"/>
        <v>-52.920001210727037</v>
      </c>
      <c r="R935" t="s">
        <v>1465</v>
      </c>
    </row>
    <row r="936" spans="1:18" x14ac:dyDescent="0.25">
      <c r="A936" s="33">
        <v>46035</v>
      </c>
      <c r="B936" s="1">
        <v>1301</v>
      </c>
      <c r="C936" s="2" t="s">
        <v>1392</v>
      </c>
      <c r="D936" s="34">
        <v>-82595</v>
      </c>
      <c r="E936" t="s">
        <v>20</v>
      </c>
      <c r="F936" s="2" t="e">
        <f>VLOOKUP(Tabla3[[#This Row],[CONTABLE]],'SAPROV (2)'!L:M,2,FALSE)</f>
        <v>#N/A</v>
      </c>
      <c r="H936" t="s">
        <v>588</v>
      </c>
      <c r="I936" s="2" t="str">
        <f>VLOOKUP(Tabla3[[#This Row],[Deposito]],'SAPROV (2)'!D:E,2,FALSE)</f>
        <v>A01</v>
      </c>
      <c r="K936" s="2" t="s">
        <v>101</v>
      </c>
      <c r="L936" s="23" t="str">
        <f>VLOOKUP(Tabla3[[#This Row],[PROVEEDOR]],'SAPROV (2)'!A:B,2,FALSE)</f>
        <v>36</v>
      </c>
      <c r="M936" t="str">
        <f>VLOOKUP(Tabla3[[#This Row],[SERVICIO]],'SAPROV (2)'!I:J,2,FALSE)</f>
        <v>SERV0011</v>
      </c>
      <c r="N936" t="s">
        <v>927</v>
      </c>
      <c r="P936">
        <f>VLOOKUP(Tabla3[[#This Row],[FECHA]],TASA[],2,FALSE)</f>
        <v>330.38</v>
      </c>
      <c r="Q936" s="4">
        <f t="shared" si="106"/>
        <v>-250</v>
      </c>
      <c r="R936" t="s">
        <v>1465</v>
      </c>
    </row>
    <row r="937" spans="1:18" x14ac:dyDescent="0.25">
      <c r="A937" s="33">
        <v>46037</v>
      </c>
      <c r="B937" s="1">
        <v>272758</v>
      </c>
      <c r="C937" s="2" t="s">
        <v>1393</v>
      </c>
      <c r="D937" s="34">
        <v>-47481</v>
      </c>
      <c r="E937" t="s">
        <v>20</v>
      </c>
      <c r="F937" s="2" t="e">
        <f>VLOOKUP(Tabla3[[#This Row],[CONTABLE]],'SAPROV (2)'!L:M,2,FALSE)</f>
        <v>#N/A</v>
      </c>
      <c r="H937" t="s">
        <v>1279</v>
      </c>
      <c r="I937" s="2" t="str">
        <f>VLOOKUP(Tabla3[[#This Row],[Deposito]],'SAPROV (2)'!D:E,2,FALSE)</f>
        <v>08</v>
      </c>
      <c r="K937" t="s">
        <v>106</v>
      </c>
      <c r="L937" s="2" t="str">
        <f>VLOOKUP(Tabla3[[#This Row],[PROVEEDOR]],'SAPROV (2)'!A:B,2,FALSE)</f>
        <v>39</v>
      </c>
      <c r="M937" t="str">
        <f>VLOOKUP(Tabla3[[#This Row],[SERVICIO]],'SAPROV (2)'!I:J,2,FALSE)</f>
        <v>SERV0049E</v>
      </c>
      <c r="N937" t="s">
        <v>657</v>
      </c>
      <c r="P937">
        <f>VLOOKUP(Tabla3[[#This Row],[FECHA]],TASA[],2,FALSE)</f>
        <v>339.15</v>
      </c>
      <c r="Q937" s="4">
        <f t="shared" si="106"/>
        <v>-140</v>
      </c>
      <c r="R937" t="s">
        <v>1465</v>
      </c>
    </row>
    <row r="938" spans="1:18" x14ac:dyDescent="0.25">
      <c r="A938" s="33">
        <v>46037</v>
      </c>
      <c r="B938" s="1">
        <v>272758</v>
      </c>
      <c r="C938" s="2" t="s">
        <v>1300</v>
      </c>
      <c r="D938" s="34">
        <v>-142.44</v>
      </c>
      <c r="E938" t="s">
        <v>20</v>
      </c>
      <c r="F938" s="2" t="e">
        <f>VLOOKUP(Tabla3[[#This Row],[CONTABLE]],'SAPROV (2)'!L:M,2,FALSE)</f>
        <v>#N/A</v>
      </c>
      <c r="H938" t="s">
        <v>588</v>
      </c>
      <c r="I938" s="2" t="str">
        <f>VLOOKUP(Tabla3[[#This Row],[Deposito]],'SAPROV (2)'!D:E,2,FALSE)</f>
        <v>A01</v>
      </c>
      <c r="K938" s="23" t="s">
        <v>23</v>
      </c>
      <c r="L938" s="23" t="str">
        <f>VLOOKUP(Tabla3[[#This Row],[PROVEEDOR]],'SAPROV (2)'!A:B,2,FALSE)</f>
        <v>04</v>
      </c>
      <c r="M938" t="str">
        <f>VLOOKUP(Tabla3[[#This Row],[SERVICIO]],'SAPROV (2)'!I:J,2,FALSE)</f>
        <v>SERV0060</v>
      </c>
      <c r="N938" t="s">
        <v>611</v>
      </c>
      <c r="P938">
        <f>VLOOKUP(Tabla3[[#This Row],[FECHA]],TASA[],2,FALSE)</f>
        <v>339.15</v>
      </c>
      <c r="Q938" s="4">
        <f t="shared" si="106"/>
        <v>-0.41999115435647943</v>
      </c>
      <c r="R938" t="s">
        <v>1465</v>
      </c>
    </row>
    <row r="939" spans="1:18" x14ac:dyDescent="0.25">
      <c r="A939" s="33">
        <v>46037</v>
      </c>
      <c r="B939" s="1">
        <v>272764</v>
      </c>
      <c r="C939" s="2" t="s">
        <v>1301</v>
      </c>
      <c r="D939" s="34">
        <v>-320</v>
      </c>
      <c r="E939" t="s">
        <v>20</v>
      </c>
      <c r="F939" s="2" t="e">
        <f>VLOOKUP(Tabla3[[#This Row],[CONTABLE]],'SAPROV (2)'!L:M,2,FALSE)</f>
        <v>#N/A</v>
      </c>
      <c r="H939" t="s">
        <v>588</v>
      </c>
      <c r="I939" s="2" t="str">
        <f>VLOOKUP(Tabla3[[#This Row],[Deposito]],'SAPROV (2)'!D:E,2,FALSE)</f>
        <v>A01</v>
      </c>
      <c r="K939" s="23" t="s">
        <v>23</v>
      </c>
      <c r="L939" s="23" t="str">
        <f>VLOOKUP(Tabla3[[#This Row],[PROVEEDOR]],'SAPROV (2)'!A:B,2,FALSE)</f>
        <v>04</v>
      </c>
      <c r="M939" t="str">
        <f>VLOOKUP(Tabla3[[#This Row],[SERVICIO]],'SAPROV (2)'!I:J,2,FALSE)</f>
        <v>SERV0060</v>
      </c>
      <c r="N939" t="s">
        <v>611</v>
      </c>
      <c r="P939">
        <f>VLOOKUP(Tabla3[[#This Row],[FECHA]],TASA[],2,FALSE)</f>
        <v>339.15</v>
      </c>
      <c r="Q939" s="4">
        <f t="shared" si="106"/>
        <v>-0.94353530886038628</v>
      </c>
      <c r="R939" t="s">
        <v>1465</v>
      </c>
    </row>
    <row r="940" spans="1:18" x14ac:dyDescent="0.25">
      <c r="A940" s="33">
        <v>46038</v>
      </c>
      <c r="B940" s="1">
        <v>188748</v>
      </c>
      <c r="C940" s="2" t="s">
        <v>1394</v>
      </c>
      <c r="D940" s="34">
        <v>-366960</v>
      </c>
      <c r="E940" t="s">
        <v>20</v>
      </c>
      <c r="F940" s="2" t="e">
        <f>VLOOKUP(Tabla3[[#This Row],[CONTABLE]],'SAPROV (2)'!L:M,2,FALSE)</f>
        <v>#N/A</v>
      </c>
      <c r="H940" t="s">
        <v>588</v>
      </c>
      <c r="I940" s="2" t="str">
        <f>VLOOKUP(Tabla3[[#This Row],[Deposito]],'SAPROV (2)'!D:E,2,FALSE)</f>
        <v>A01</v>
      </c>
      <c r="K940" t="s">
        <v>44</v>
      </c>
      <c r="L940" s="2" t="str">
        <f>VLOOKUP(Tabla3[[#This Row],[PROVEEDOR]],'SAPROV (2)'!A:B,2,FALSE)</f>
        <v>07</v>
      </c>
      <c r="M940" t="str">
        <f>VLOOKUP(Tabla3[[#This Row],[SERVICIO]],'SAPROV (2)'!I:J,2,FALSE)</f>
        <v>SERV0041</v>
      </c>
      <c r="N940" t="s">
        <v>750</v>
      </c>
      <c r="P940">
        <f>VLOOKUP(Tabla3[[#This Row],[FECHA]],TASA[],2,FALSE)</f>
        <v>341.74</v>
      </c>
      <c r="Q940" s="4">
        <f t="shared" si="106"/>
        <v>-1073.7987944051033</v>
      </c>
      <c r="R940" t="s">
        <v>1465</v>
      </c>
    </row>
    <row r="941" spans="1:18" x14ac:dyDescent="0.25">
      <c r="A941" s="33">
        <v>46038</v>
      </c>
      <c r="B941" s="1">
        <v>188748</v>
      </c>
      <c r="C941" s="2" t="s">
        <v>1298</v>
      </c>
      <c r="D941" s="34">
        <v>-1100.8800000000001</v>
      </c>
      <c r="E941" t="s">
        <v>20</v>
      </c>
      <c r="F941" s="2" t="e">
        <f>VLOOKUP(Tabla3[[#This Row],[CONTABLE]],'SAPROV (2)'!L:M,2,FALSE)</f>
        <v>#N/A</v>
      </c>
      <c r="H941" t="s">
        <v>588</v>
      </c>
      <c r="I941" s="2" t="str">
        <f>VLOOKUP(Tabla3[[#This Row],[Deposito]],'SAPROV (2)'!D:E,2,FALSE)</f>
        <v>A01</v>
      </c>
      <c r="K941" s="23" t="s">
        <v>23</v>
      </c>
      <c r="L941" s="23" t="str">
        <f>VLOOKUP(Tabla3[[#This Row],[PROVEEDOR]],'SAPROV (2)'!A:B,2,FALSE)</f>
        <v>04</v>
      </c>
      <c r="M941" t="str">
        <f>VLOOKUP(Tabla3[[#This Row],[SERVICIO]],'SAPROV (2)'!I:J,2,FALSE)</f>
        <v>SERV0060</v>
      </c>
      <c r="N941" t="s">
        <v>611</v>
      </c>
      <c r="P941">
        <f>VLOOKUP(Tabla3[[#This Row],[FECHA]],TASA[],2,FALSE)</f>
        <v>341.74</v>
      </c>
      <c r="Q941" s="4">
        <f t="shared" si="106"/>
        <v>-3.2213963832153101</v>
      </c>
      <c r="R941" t="s">
        <v>1465</v>
      </c>
    </row>
    <row r="942" spans="1:18" x14ac:dyDescent="0.25">
      <c r="A942" s="33">
        <v>46038</v>
      </c>
      <c r="B942" s="1">
        <v>188772</v>
      </c>
      <c r="C942" s="2" t="s">
        <v>1395</v>
      </c>
      <c r="D942" s="34">
        <v>-25220</v>
      </c>
      <c r="E942" t="s">
        <v>20</v>
      </c>
      <c r="F942" s="2" t="e">
        <f>VLOOKUP(Tabla3[[#This Row],[CONTABLE]],'SAPROV (2)'!L:M,2,FALSE)</f>
        <v>#N/A</v>
      </c>
      <c r="H942" t="s">
        <v>588</v>
      </c>
      <c r="I942" s="2" t="str">
        <f>VLOOKUP(Tabla3[[#This Row],[Deposito]],'SAPROV (2)'!D:E,2,FALSE)</f>
        <v>A01</v>
      </c>
      <c r="K942" t="s">
        <v>44</v>
      </c>
      <c r="L942" s="23" t="str">
        <f>VLOOKUP(Tabla3[[#This Row],[PROVEEDOR]],'SAPROV (2)'!A:B,2,FALSE)</f>
        <v>07</v>
      </c>
      <c r="M942" t="str">
        <f>VLOOKUP(Tabla3[[#This Row],[SERVICIO]],'SAPROV (2)'!I:J,2,FALSE)</f>
        <v>SERV0041</v>
      </c>
      <c r="N942" t="s">
        <v>750</v>
      </c>
      <c r="P942">
        <f>VLOOKUP(Tabla3[[#This Row],[FECHA]],TASA[],2,FALSE)</f>
        <v>341.74</v>
      </c>
      <c r="Q942" s="4">
        <f t="shared" si="106"/>
        <v>-73.798794405103294</v>
      </c>
      <c r="R942" t="s">
        <v>1465</v>
      </c>
    </row>
    <row r="943" spans="1:18" x14ac:dyDescent="0.25">
      <c r="A943" s="33">
        <v>46038</v>
      </c>
      <c r="B943" s="1">
        <v>188772</v>
      </c>
      <c r="C943" s="2" t="s">
        <v>1298</v>
      </c>
      <c r="D943" s="34">
        <v>-75.66</v>
      </c>
      <c r="E943" t="s">
        <v>20</v>
      </c>
      <c r="F943" s="2" t="e">
        <f>VLOOKUP(Tabla3[[#This Row],[CONTABLE]],'SAPROV (2)'!L:M,2,FALSE)</f>
        <v>#N/A</v>
      </c>
      <c r="H943" t="s">
        <v>588</v>
      </c>
      <c r="I943" s="2" t="str">
        <f>VLOOKUP(Tabla3[[#This Row],[Deposito]],'SAPROV (2)'!D:E,2,FALSE)</f>
        <v>A01</v>
      </c>
      <c r="K943" s="23" t="s">
        <v>23</v>
      </c>
      <c r="L943" s="2" t="str">
        <f>VLOOKUP(Tabla3[[#This Row],[PROVEEDOR]],'SAPROV (2)'!A:B,2,FALSE)</f>
        <v>04</v>
      </c>
      <c r="M943" t="str">
        <f>VLOOKUP(Tabla3[[#This Row],[SERVICIO]],'SAPROV (2)'!I:J,2,FALSE)</f>
        <v>SERV0060</v>
      </c>
      <c r="N943" t="s">
        <v>611</v>
      </c>
      <c r="P943">
        <f>VLOOKUP(Tabla3[[#This Row],[FECHA]],TASA[],2,FALSE)</f>
        <v>341.74</v>
      </c>
      <c r="Q943" s="4">
        <f t="shared" si="106"/>
        <v>-0.22139638321530986</v>
      </c>
      <c r="R943" t="s">
        <v>1465</v>
      </c>
    </row>
    <row r="944" spans="1:18" x14ac:dyDescent="0.25">
      <c r="A944" s="33">
        <v>46038</v>
      </c>
      <c r="B944" s="1">
        <v>188777</v>
      </c>
      <c r="C944" s="2" t="s">
        <v>1395</v>
      </c>
      <c r="D944" s="34">
        <v>-1000000</v>
      </c>
      <c r="E944" t="s">
        <v>20</v>
      </c>
      <c r="F944" s="2" t="e">
        <f>VLOOKUP(Tabla3[[#This Row],[CONTABLE]],'SAPROV (2)'!L:M,2,FALSE)</f>
        <v>#N/A</v>
      </c>
      <c r="H944" t="s">
        <v>588</v>
      </c>
      <c r="I944" s="2" t="str">
        <f>VLOOKUP(Tabla3[[#This Row],[Deposito]],'SAPROV (2)'!D:E,2,FALSE)</f>
        <v>A01</v>
      </c>
      <c r="K944" t="s">
        <v>44</v>
      </c>
      <c r="L944" s="23" t="str">
        <f>VLOOKUP(Tabla3[[#This Row],[PROVEEDOR]],'SAPROV (2)'!A:B,2,FALSE)</f>
        <v>07</v>
      </c>
      <c r="M944" t="str">
        <f>VLOOKUP(Tabla3[[#This Row],[SERVICIO]],'SAPROV (2)'!I:J,2,FALSE)</f>
        <v>SERV0041</v>
      </c>
      <c r="N944" t="s">
        <v>750</v>
      </c>
      <c r="P944">
        <f>VLOOKUP(Tabla3[[#This Row],[FECHA]],TASA[],2,FALSE)</f>
        <v>341.74</v>
      </c>
      <c r="Q944" s="4">
        <f t="shared" si="106"/>
        <v>-2926.2012055948967</v>
      </c>
      <c r="R944" t="s">
        <v>1465</v>
      </c>
    </row>
    <row r="945" spans="1:18" x14ac:dyDescent="0.25">
      <c r="A945" s="33">
        <v>46038</v>
      </c>
      <c r="B945" s="1">
        <v>188777</v>
      </c>
      <c r="C945" s="2" t="s">
        <v>1298</v>
      </c>
      <c r="D945" s="34">
        <v>-3000</v>
      </c>
      <c r="E945" t="s">
        <v>20</v>
      </c>
      <c r="F945" s="2" t="e">
        <f>VLOOKUP(Tabla3[[#This Row],[CONTABLE]],'SAPROV (2)'!L:M,2,FALSE)</f>
        <v>#N/A</v>
      </c>
      <c r="H945" t="s">
        <v>588</v>
      </c>
      <c r="I945" s="2" t="str">
        <f>VLOOKUP(Tabla3[[#This Row],[Deposito]],'SAPROV (2)'!D:E,2,FALSE)</f>
        <v>A01</v>
      </c>
      <c r="K945" s="23" t="s">
        <v>23</v>
      </c>
      <c r="L945" s="23" t="str">
        <f>VLOOKUP(Tabla3[[#This Row],[PROVEEDOR]],'SAPROV (2)'!A:B,2,FALSE)</f>
        <v>04</v>
      </c>
      <c r="M945" t="str">
        <f>VLOOKUP(Tabla3[[#This Row],[SERVICIO]],'SAPROV (2)'!I:J,2,FALSE)</f>
        <v>SERV0060</v>
      </c>
      <c r="N945" t="s">
        <v>611</v>
      </c>
      <c r="P945">
        <f>VLOOKUP(Tabla3[[#This Row],[FECHA]],TASA[],2,FALSE)</f>
        <v>341.74</v>
      </c>
      <c r="Q945" s="4">
        <f t="shared" si="106"/>
        <v>-8.7786036167846895</v>
      </c>
      <c r="R945" t="s">
        <v>1465</v>
      </c>
    </row>
    <row r="946" spans="1:18" x14ac:dyDescent="0.25">
      <c r="A946" s="33">
        <v>46038</v>
      </c>
      <c r="B946" s="1">
        <v>188782</v>
      </c>
      <c r="C946" s="2" t="s">
        <v>1394</v>
      </c>
      <c r="D946" s="34">
        <v>-1000000</v>
      </c>
      <c r="E946" t="s">
        <v>20</v>
      </c>
      <c r="F946" s="2" t="e">
        <f>VLOOKUP(Tabla3[[#This Row],[CONTABLE]],'SAPROV (2)'!L:M,2,FALSE)</f>
        <v>#N/A</v>
      </c>
      <c r="H946" t="s">
        <v>588</v>
      </c>
      <c r="I946" s="2" t="str">
        <f>VLOOKUP(Tabla3[[#This Row],[Deposito]],'SAPROV (2)'!D:E,2,FALSE)</f>
        <v>A01</v>
      </c>
      <c r="K946" t="s">
        <v>44</v>
      </c>
      <c r="L946" s="2" t="str">
        <f>VLOOKUP(Tabla3[[#This Row],[PROVEEDOR]],'SAPROV (2)'!A:B,2,FALSE)</f>
        <v>07</v>
      </c>
      <c r="M946" t="str">
        <f>VLOOKUP(Tabla3[[#This Row],[SERVICIO]],'SAPROV (2)'!I:J,2,FALSE)</f>
        <v>SERV0041</v>
      </c>
      <c r="N946" t="s">
        <v>750</v>
      </c>
      <c r="P946">
        <f>VLOOKUP(Tabla3[[#This Row],[FECHA]],TASA[],2,FALSE)</f>
        <v>341.74</v>
      </c>
      <c r="Q946" s="4">
        <f t="shared" si="106"/>
        <v>-2926.2012055948967</v>
      </c>
      <c r="R946" t="s">
        <v>1465</v>
      </c>
    </row>
    <row r="947" spans="1:18" x14ac:dyDescent="0.25">
      <c r="A947" s="33">
        <v>46038</v>
      </c>
      <c r="B947" s="1">
        <v>188782</v>
      </c>
      <c r="C947" s="2" t="s">
        <v>1298</v>
      </c>
      <c r="D947" s="34">
        <v>-3000</v>
      </c>
      <c r="E947" t="s">
        <v>20</v>
      </c>
      <c r="F947" s="2" t="e">
        <f>VLOOKUP(Tabla3[[#This Row],[CONTABLE]],'SAPROV (2)'!L:M,2,FALSE)</f>
        <v>#N/A</v>
      </c>
      <c r="H947" t="s">
        <v>588</v>
      </c>
      <c r="I947" s="2" t="str">
        <f>VLOOKUP(Tabla3[[#This Row],[Deposito]],'SAPROV (2)'!D:E,2,FALSE)</f>
        <v>A01</v>
      </c>
      <c r="K947" s="23" t="s">
        <v>23</v>
      </c>
      <c r="L947" s="23" t="str">
        <f>VLOOKUP(Tabla3[[#This Row],[PROVEEDOR]],'SAPROV (2)'!A:B,2,FALSE)</f>
        <v>04</v>
      </c>
      <c r="M947" t="str">
        <f>VLOOKUP(Tabla3[[#This Row],[SERVICIO]],'SAPROV (2)'!I:J,2,FALSE)</f>
        <v>SERV0060</v>
      </c>
      <c r="N947" t="s">
        <v>611</v>
      </c>
      <c r="P947">
        <f>VLOOKUP(Tabla3[[#This Row],[FECHA]],TASA[],2,FALSE)</f>
        <v>341.74</v>
      </c>
      <c r="Q947" s="4">
        <f t="shared" si="106"/>
        <v>-8.7786036167846895</v>
      </c>
      <c r="R947" t="s">
        <v>1465</v>
      </c>
    </row>
    <row r="948" spans="1:18" x14ac:dyDescent="0.25">
      <c r="A948" s="33">
        <v>46038</v>
      </c>
      <c r="B948" s="1">
        <v>233367</v>
      </c>
      <c r="C948" s="2" t="s">
        <v>1396</v>
      </c>
      <c r="D948" s="34">
        <v>-612.08000000000004</v>
      </c>
      <c r="E948" t="s">
        <v>20</v>
      </c>
      <c r="F948" s="2" t="e">
        <f>VLOOKUP(Tabla3[[#This Row],[CONTABLE]],'SAPROV (2)'!L:M,2,FALSE)</f>
        <v>#N/A</v>
      </c>
      <c r="H948" t="s">
        <v>588</v>
      </c>
      <c r="I948" s="2" t="str">
        <f>VLOOKUP(Tabla3[[#This Row],[Deposito]],'SAPROV (2)'!D:E,2,FALSE)</f>
        <v>A01</v>
      </c>
      <c r="K948" s="23" t="s">
        <v>23</v>
      </c>
      <c r="L948" s="23" t="str">
        <f>VLOOKUP(Tabla3[[#This Row],[PROVEEDOR]],'SAPROV (2)'!A:B,2,FALSE)</f>
        <v>04</v>
      </c>
      <c r="M948" t="str">
        <f>VLOOKUP(Tabla3[[#This Row],[SERVICIO]],'SAPROV (2)'!I:J,2,FALSE)</f>
        <v>SERV0060</v>
      </c>
      <c r="N948" t="s">
        <v>611</v>
      </c>
      <c r="P948">
        <f>VLOOKUP(Tabla3[[#This Row],[FECHA]],TASA[],2,FALSE)</f>
        <v>341.74</v>
      </c>
      <c r="Q948" s="4">
        <f t="shared" si="106"/>
        <v>-1.7910692339205245</v>
      </c>
      <c r="R948" t="s">
        <v>1465</v>
      </c>
    </row>
    <row r="949" spans="1:18" x14ac:dyDescent="0.25">
      <c r="A949" s="33">
        <v>46041</v>
      </c>
      <c r="B949" s="1">
        <v>149931</v>
      </c>
      <c r="C949" s="2" t="s">
        <v>1397</v>
      </c>
      <c r="D949" s="34">
        <v>-54.78</v>
      </c>
      <c r="E949" t="s">
        <v>20</v>
      </c>
      <c r="F949" s="2" t="e">
        <f>VLOOKUP(Tabla3[[#This Row],[CONTABLE]],'SAPROV (2)'!L:M,2,FALSE)</f>
        <v>#N/A</v>
      </c>
      <c r="H949" t="s">
        <v>588</v>
      </c>
      <c r="I949" s="2" t="str">
        <f>VLOOKUP(Tabla3[[#This Row],[Deposito]],'SAPROV (2)'!D:E,2,FALSE)</f>
        <v>A01</v>
      </c>
      <c r="K949" s="23" t="s">
        <v>23</v>
      </c>
      <c r="L949" s="2" t="str">
        <f>VLOOKUP(Tabla3[[#This Row],[PROVEEDOR]],'SAPROV (2)'!A:B,2,FALSE)</f>
        <v>04</v>
      </c>
      <c r="M949" t="str">
        <f>VLOOKUP(Tabla3[[#This Row],[SERVICIO]],'SAPROV (2)'!I:J,2,FALSE)</f>
        <v>SERV0060</v>
      </c>
      <c r="N949" t="s">
        <v>611</v>
      </c>
      <c r="P949">
        <f>VLOOKUP(Tabla3[[#This Row],[FECHA]],TASA[],2,FALSE)</f>
        <v>344.51</v>
      </c>
      <c r="Q949" s="4">
        <f t="shared" si="106"/>
        <v>-0.15900844677948392</v>
      </c>
      <c r="R949" t="s">
        <v>1465</v>
      </c>
    </row>
    <row r="950" spans="1:18" x14ac:dyDescent="0.25">
      <c r="A950" s="33">
        <v>46042</v>
      </c>
      <c r="B950" s="1">
        <v>15002</v>
      </c>
      <c r="C950" s="2" t="s">
        <v>1398</v>
      </c>
      <c r="D950" s="34">
        <v>-344510</v>
      </c>
      <c r="E950" t="s">
        <v>20</v>
      </c>
      <c r="F950" s="2" t="e">
        <f>VLOOKUP(Tabla3[[#This Row],[CONTABLE]],'SAPROV (2)'!L:M,2,FALSE)</f>
        <v>#N/A</v>
      </c>
      <c r="H950" t="s">
        <v>1276</v>
      </c>
      <c r="I950" s="2" t="str">
        <f>VLOOKUP(Tabla3[[#This Row],[Deposito]],'SAPROV (2)'!D:E,2,FALSE)</f>
        <v>04</v>
      </c>
      <c r="K950" t="s">
        <v>52</v>
      </c>
      <c r="L950" s="23" t="str">
        <f>VLOOKUP(Tabla3[[#This Row],[PROVEEDOR]],'SAPROV (2)'!A:B,2,FALSE)</f>
        <v>11</v>
      </c>
      <c r="M950" t="str">
        <f>VLOOKUP(Tabla3[[#This Row],[SERVICIO]],'SAPROV (2)'!I:J,2,FALSE)</f>
        <v>SERV0036</v>
      </c>
      <c r="N950" t="s">
        <v>762</v>
      </c>
      <c r="P950">
        <f>VLOOKUP(Tabla3[[#This Row],[FECHA]],TASA[],2,FALSE)</f>
        <v>344.51</v>
      </c>
      <c r="Q950" s="4">
        <f t="shared" si="106"/>
        <v>-1000</v>
      </c>
      <c r="R950" t="s">
        <v>1465</v>
      </c>
    </row>
    <row r="951" spans="1:18" x14ac:dyDescent="0.25">
      <c r="A951" s="33">
        <v>46042</v>
      </c>
      <c r="B951" s="1">
        <v>15002</v>
      </c>
      <c r="C951" s="2" t="s">
        <v>1301</v>
      </c>
      <c r="D951" s="34">
        <v>-1033.53</v>
      </c>
      <c r="E951" t="s">
        <v>20</v>
      </c>
      <c r="F951" s="2" t="e">
        <f>VLOOKUP(Tabla3[[#This Row],[CONTABLE]],'SAPROV (2)'!L:M,2,FALSE)</f>
        <v>#N/A</v>
      </c>
      <c r="H951" t="s">
        <v>588</v>
      </c>
      <c r="I951" s="2" t="str">
        <f>VLOOKUP(Tabla3[[#This Row],[Deposito]],'SAPROV (2)'!D:E,2,FALSE)</f>
        <v>A01</v>
      </c>
      <c r="K951" s="23" t="s">
        <v>23</v>
      </c>
      <c r="L951" s="23" t="str">
        <f>VLOOKUP(Tabla3[[#This Row],[PROVEEDOR]],'SAPROV (2)'!A:B,2,FALSE)</f>
        <v>04</v>
      </c>
      <c r="M951" t="str">
        <f>VLOOKUP(Tabla3[[#This Row],[SERVICIO]],'SAPROV (2)'!I:J,2,FALSE)</f>
        <v>SERV0060</v>
      </c>
      <c r="N951" t="s">
        <v>611</v>
      </c>
      <c r="P951">
        <f>VLOOKUP(Tabla3[[#This Row],[FECHA]],TASA[],2,FALSE)</f>
        <v>344.51</v>
      </c>
      <c r="Q951" s="4">
        <f t="shared" si="106"/>
        <v>-3</v>
      </c>
      <c r="R951" t="s">
        <v>1465</v>
      </c>
    </row>
    <row r="952" spans="1:18" x14ac:dyDescent="0.25">
      <c r="A952" s="33">
        <v>46042</v>
      </c>
      <c r="B952" s="1">
        <v>53871</v>
      </c>
      <c r="C952" s="2" t="s">
        <v>1301</v>
      </c>
      <c r="D952" s="34">
        <v>-458.97</v>
      </c>
      <c r="E952" t="s">
        <v>20</v>
      </c>
      <c r="F952" s="2" t="e">
        <f>VLOOKUP(Tabla3[[#This Row],[CONTABLE]],'SAPROV (2)'!L:M,2,FALSE)</f>
        <v>#N/A</v>
      </c>
      <c r="H952" t="s">
        <v>588</v>
      </c>
      <c r="I952" s="2" t="str">
        <f>VLOOKUP(Tabla3[[#This Row],[Deposito]],'SAPROV (2)'!D:E,2,FALSE)</f>
        <v>A01</v>
      </c>
      <c r="K952" s="23" t="s">
        <v>23</v>
      </c>
      <c r="L952" s="2" t="str">
        <f>VLOOKUP(Tabla3[[#This Row],[PROVEEDOR]],'SAPROV (2)'!A:B,2,FALSE)</f>
        <v>04</v>
      </c>
      <c r="M952" t="str">
        <f>VLOOKUP(Tabla3[[#This Row],[SERVICIO]],'SAPROV (2)'!I:J,2,FALSE)</f>
        <v>SERV0060</v>
      </c>
      <c r="N952" t="s">
        <v>611</v>
      </c>
      <c r="P952">
        <f>VLOOKUP(Tabla3[[#This Row],[FECHA]],TASA[],2,FALSE)</f>
        <v>344.51</v>
      </c>
      <c r="Q952" s="4">
        <f t="shared" si="106"/>
        <v>-1.332239993033584</v>
      </c>
      <c r="R952" t="s">
        <v>1465</v>
      </c>
    </row>
    <row r="953" spans="1:18" x14ac:dyDescent="0.25">
      <c r="A953" s="33">
        <v>46042</v>
      </c>
      <c r="B953" s="1">
        <v>66256</v>
      </c>
      <c r="C953" s="2" t="s">
        <v>1399</v>
      </c>
      <c r="D953" s="34">
        <v>-51.68</v>
      </c>
      <c r="E953" t="s">
        <v>20</v>
      </c>
      <c r="F953" s="2" t="e">
        <f>VLOOKUP(Tabla3[[#This Row],[CONTABLE]],'SAPROV (2)'!L:M,2,FALSE)</f>
        <v>#N/A</v>
      </c>
      <c r="H953" t="s">
        <v>588</v>
      </c>
      <c r="I953" s="2" t="str">
        <f>VLOOKUP(Tabla3[[#This Row],[Deposito]],'SAPROV (2)'!D:E,2,FALSE)</f>
        <v>A01</v>
      </c>
      <c r="K953" s="23" t="s">
        <v>23</v>
      </c>
      <c r="L953" s="23" t="str">
        <f>VLOOKUP(Tabla3[[#This Row],[PROVEEDOR]],'SAPROV (2)'!A:B,2,FALSE)</f>
        <v>04</v>
      </c>
      <c r="M953" t="str">
        <f>VLOOKUP(Tabla3[[#This Row],[SERVICIO]],'SAPROV (2)'!I:J,2,FALSE)</f>
        <v>SERV0060</v>
      </c>
      <c r="N953" t="s">
        <v>611</v>
      </c>
      <c r="P953">
        <f>VLOOKUP(Tabla3[[#This Row],[FECHA]],TASA[],2,FALSE)</f>
        <v>344.51</v>
      </c>
      <c r="Q953" s="4">
        <f t="shared" si="106"/>
        <v>-0.15001015935676759</v>
      </c>
      <c r="R953" t="s">
        <v>1465</v>
      </c>
    </row>
    <row r="954" spans="1:18" x14ac:dyDescent="0.25">
      <c r="A954" s="33">
        <v>46042</v>
      </c>
      <c r="B954" s="1">
        <v>66879</v>
      </c>
      <c r="C954" s="2" t="s">
        <v>1399</v>
      </c>
      <c r="D954" s="34">
        <v>-51.68</v>
      </c>
      <c r="E954" t="s">
        <v>20</v>
      </c>
      <c r="F954" s="2" t="e">
        <f>VLOOKUP(Tabla3[[#This Row],[CONTABLE]],'SAPROV (2)'!L:M,2,FALSE)</f>
        <v>#N/A</v>
      </c>
      <c r="H954" t="s">
        <v>588</v>
      </c>
      <c r="I954" s="2" t="str">
        <f>VLOOKUP(Tabla3[[#This Row],[Deposito]],'SAPROV (2)'!D:E,2,FALSE)</f>
        <v>A01</v>
      </c>
      <c r="K954" s="23" t="s">
        <v>23</v>
      </c>
      <c r="L954" s="23" t="str">
        <f>VLOOKUP(Tabla3[[#This Row],[PROVEEDOR]],'SAPROV (2)'!A:B,2,FALSE)</f>
        <v>04</v>
      </c>
      <c r="M954" t="str">
        <f>VLOOKUP(Tabla3[[#This Row],[SERVICIO]],'SAPROV (2)'!I:J,2,FALSE)</f>
        <v>SERV0060</v>
      </c>
      <c r="N954" t="s">
        <v>611</v>
      </c>
      <c r="P954">
        <f>VLOOKUP(Tabla3[[#This Row],[FECHA]],TASA[],2,FALSE)</f>
        <v>344.51</v>
      </c>
      <c r="Q954" s="4">
        <f t="shared" si="106"/>
        <v>-0.15001015935676759</v>
      </c>
      <c r="R954" t="s">
        <v>1465</v>
      </c>
    </row>
    <row r="955" spans="1:18" x14ac:dyDescent="0.25">
      <c r="A955" s="33">
        <v>46042</v>
      </c>
      <c r="B955" s="1">
        <v>68742</v>
      </c>
      <c r="C955" s="2" t="s">
        <v>1400</v>
      </c>
      <c r="D955" s="34">
        <v>-51.68</v>
      </c>
      <c r="E955" t="s">
        <v>20</v>
      </c>
      <c r="F955" s="2" t="e">
        <f>VLOOKUP(Tabla3[[#This Row],[CONTABLE]],'SAPROV (2)'!L:M,2,FALSE)</f>
        <v>#N/A</v>
      </c>
      <c r="H955" t="s">
        <v>588</v>
      </c>
      <c r="I955" s="2" t="str">
        <f>VLOOKUP(Tabla3[[#This Row],[Deposito]],'SAPROV (2)'!D:E,2,FALSE)</f>
        <v>A01</v>
      </c>
      <c r="K955" s="23" t="s">
        <v>23</v>
      </c>
      <c r="L955" s="2" t="str">
        <f>VLOOKUP(Tabla3[[#This Row],[PROVEEDOR]],'SAPROV (2)'!A:B,2,FALSE)</f>
        <v>04</v>
      </c>
      <c r="M955" t="str">
        <f>VLOOKUP(Tabla3[[#This Row],[SERVICIO]],'SAPROV (2)'!I:J,2,FALSE)</f>
        <v>SERV0060</v>
      </c>
      <c r="N955" t="s">
        <v>611</v>
      </c>
      <c r="P955">
        <f>VLOOKUP(Tabla3[[#This Row],[FECHA]],TASA[],2,FALSE)</f>
        <v>344.51</v>
      </c>
      <c r="Q955" s="4">
        <f t="shared" si="106"/>
        <v>-0.15001015935676759</v>
      </c>
      <c r="R955" t="s">
        <v>1465</v>
      </c>
    </row>
    <row r="956" spans="1:18" x14ac:dyDescent="0.25">
      <c r="A956" s="33">
        <v>46042</v>
      </c>
      <c r="B956" s="1">
        <v>152289</v>
      </c>
      <c r="C956" s="2" t="s">
        <v>1401</v>
      </c>
      <c r="D956" s="34">
        <v>-279928.15999999997</v>
      </c>
      <c r="E956" t="s">
        <v>20</v>
      </c>
      <c r="F956" s="2" t="e">
        <f>VLOOKUP(Tabla3[[#This Row],[CONTABLE]],'SAPROV (2)'!L:M,2,FALSE)</f>
        <v>#N/A</v>
      </c>
      <c r="G956"/>
      <c r="H956" t="s">
        <v>1276</v>
      </c>
      <c r="I956" s="2" t="str">
        <f>VLOOKUP(Tabla3[[#This Row],[Deposito]],'SAPROV (2)'!D:E,2,FALSE)</f>
        <v>04</v>
      </c>
      <c r="K956" s="2" t="s">
        <v>101</v>
      </c>
      <c r="L956" s="23" t="str">
        <f>VLOOKUP(Tabla3[[#This Row],[PROVEEDOR]],'SAPROV (2)'!A:B,2,FALSE)</f>
        <v>36</v>
      </c>
      <c r="M956" t="str">
        <f>VLOOKUP(Tabla3[[#This Row],[SERVICIO]],'SAPROV (2)'!I:J,2,FALSE)</f>
        <v>SERV0011</v>
      </c>
      <c r="N956" t="s">
        <v>927</v>
      </c>
      <c r="P956">
        <f>VLOOKUP(Tabla3[[#This Row],[FECHA]],TASA[],2,FALSE)</f>
        <v>344.51</v>
      </c>
      <c r="Q956" s="4">
        <f t="shared" si="106"/>
        <v>-812.54001335229736</v>
      </c>
      <c r="R956" t="s">
        <v>1465</v>
      </c>
    </row>
    <row r="957" spans="1:18" x14ac:dyDescent="0.25">
      <c r="A957" s="33">
        <v>46042</v>
      </c>
      <c r="B957" s="1">
        <v>152289</v>
      </c>
      <c r="C957" s="2" t="s">
        <v>1402</v>
      </c>
      <c r="D957" s="34">
        <v>-839.78</v>
      </c>
      <c r="E957" t="s">
        <v>20</v>
      </c>
      <c r="F957" s="2" t="e">
        <f>VLOOKUP(Tabla3[[#This Row],[CONTABLE]],'SAPROV (2)'!L:M,2,FALSE)</f>
        <v>#N/A</v>
      </c>
      <c r="H957" t="s">
        <v>588</v>
      </c>
      <c r="I957" s="2" t="str">
        <f>VLOOKUP(Tabla3[[#This Row],[Deposito]],'SAPROV (2)'!D:E,2,FALSE)</f>
        <v>A01</v>
      </c>
      <c r="K957" s="23" t="s">
        <v>23</v>
      </c>
      <c r="L957" s="23" t="str">
        <f>VLOOKUP(Tabla3[[#This Row],[PROVEEDOR]],'SAPROV (2)'!A:B,2,FALSE)</f>
        <v>04</v>
      </c>
      <c r="M957" t="str">
        <f>VLOOKUP(Tabla3[[#This Row],[SERVICIO]],'SAPROV (2)'!I:J,2,FALSE)</f>
        <v>SERV0060</v>
      </c>
      <c r="N957" t="s">
        <v>611</v>
      </c>
      <c r="P957">
        <f>VLOOKUP(Tabla3[[#This Row],[FECHA]],TASA[],2,FALSE)</f>
        <v>344.51</v>
      </c>
      <c r="Q957" s="4">
        <f t="shared" si="106"/>
        <v>-2.4376070360802298</v>
      </c>
      <c r="R957" t="s">
        <v>1465</v>
      </c>
    </row>
    <row r="958" spans="1:18" x14ac:dyDescent="0.25">
      <c r="A958" s="33">
        <v>46043</v>
      </c>
      <c r="B958" s="1">
        <v>45919</v>
      </c>
      <c r="C958" s="2" t="s">
        <v>1403</v>
      </c>
      <c r="D958" s="34">
        <v>-42000</v>
      </c>
      <c r="E958" t="s">
        <v>20</v>
      </c>
      <c r="F958" s="2" t="e">
        <f>VLOOKUP(Tabla3[[#This Row],[CONTABLE]],'SAPROV (2)'!L:M,2,FALSE)</f>
        <v>#N/A</v>
      </c>
      <c r="H958" s="2" t="s">
        <v>588</v>
      </c>
      <c r="I958" s="2" t="str">
        <f>VLOOKUP(Tabla3[[#This Row],[Deposito]],'SAPROV (2)'!D:E,2,FALSE)</f>
        <v>A01</v>
      </c>
      <c r="K958" t="s">
        <v>64</v>
      </c>
      <c r="L958" s="2" t="str">
        <f>VLOOKUP(Tabla3[[#This Row],[PROVEEDOR]],'SAPROV (2)'!A:B,2,FALSE)</f>
        <v>17</v>
      </c>
      <c r="M958" t="str">
        <f>VLOOKUP(Tabla3[[#This Row],[SERVICIO]],'SAPROV (2)'!I:J,2,FALSE)</f>
        <v>SERV0028E</v>
      </c>
      <c r="N958" t="s">
        <v>882</v>
      </c>
      <c r="P958">
        <f>VLOOKUP(Tabla3[[#This Row],[FECHA]],TASA[],2,FALSE)</f>
        <v>347.26</v>
      </c>
      <c r="Q958" s="4">
        <f t="shared" si="106"/>
        <v>-120.94684098370098</v>
      </c>
      <c r="R958" t="s">
        <v>1465</v>
      </c>
    </row>
    <row r="959" spans="1:18" x14ac:dyDescent="0.25">
      <c r="A959" s="33">
        <v>46043</v>
      </c>
      <c r="B959" s="1">
        <v>45919</v>
      </c>
      <c r="C959" s="2" t="s">
        <v>1404</v>
      </c>
      <c r="D959" s="34">
        <v>-126</v>
      </c>
      <c r="E959" t="s">
        <v>20</v>
      </c>
      <c r="F959" s="2" t="e">
        <f>VLOOKUP(Tabla3[[#This Row],[CONTABLE]],'SAPROV (2)'!L:M,2,FALSE)</f>
        <v>#N/A</v>
      </c>
      <c r="H959" t="s">
        <v>588</v>
      </c>
      <c r="I959" s="2" t="str">
        <f>VLOOKUP(Tabla3[[#This Row],[Deposito]],'SAPROV (2)'!D:E,2,FALSE)</f>
        <v>A01</v>
      </c>
      <c r="K959" s="23" t="s">
        <v>23</v>
      </c>
      <c r="L959" s="23" t="str">
        <f>VLOOKUP(Tabla3[[#This Row],[PROVEEDOR]],'SAPROV (2)'!A:B,2,FALSE)</f>
        <v>04</v>
      </c>
      <c r="M959" t="str">
        <f>VLOOKUP(Tabla3[[#This Row],[SERVICIO]],'SAPROV (2)'!I:J,2,FALSE)</f>
        <v>SERV0060</v>
      </c>
      <c r="N959" t="s">
        <v>611</v>
      </c>
      <c r="P959">
        <f>VLOOKUP(Tabla3[[#This Row],[FECHA]],TASA[],2,FALSE)</f>
        <v>347.26</v>
      </c>
      <c r="Q959" s="4">
        <f t="shared" si="106"/>
        <v>-0.36284052295110292</v>
      </c>
      <c r="R959" t="s">
        <v>1465</v>
      </c>
    </row>
    <row r="960" spans="1:18" x14ac:dyDescent="0.25">
      <c r="A960" s="33">
        <v>46043</v>
      </c>
      <c r="B960" s="1">
        <v>121900</v>
      </c>
      <c r="C960" s="2" t="s">
        <v>1405</v>
      </c>
      <c r="D960" s="34">
        <v>-415670.22</v>
      </c>
      <c r="E960" t="s">
        <v>20</v>
      </c>
      <c r="F960" s="2" t="e">
        <f>VLOOKUP(Tabla3[[#This Row],[CONTABLE]],'SAPROV (2)'!L:M,2,FALSE)</f>
        <v>#N/A</v>
      </c>
      <c r="H960" t="s">
        <v>1276</v>
      </c>
      <c r="I960" s="2" t="str">
        <f>VLOOKUP(Tabla3[[#This Row],[Deposito]],'SAPROV (2)'!D:E,2,FALSE)</f>
        <v>04</v>
      </c>
      <c r="K960" s="2" t="s">
        <v>32</v>
      </c>
      <c r="L960" s="23" t="str">
        <f>VLOOKUP(Tabla3[[#This Row],[PROVEEDOR]],'SAPROV (2)'!A:B,2,FALSE)</f>
        <v>001</v>
      </c>
      <c r="M960" t="str">
        <f>VLOOKUP(Tabla3[[#This Row],[SERVICIO]],'SAPROV (2)'!I:J,2,FALSE)</f>
        <v>SERV0001</v>
      </c>
      <c r="N960" t="s">
        <v>783</v>
      </c>
      <c r="P960">
        <f>VLOOKUP(Tabla3[[#This Row],[FECHA]],TASA[],2,FALSE)</f>
        <v>347.26</v>
      </c>
      <c r="Q960" s="4">
        <f t="shared" si="106"/>
        <v>-1197</v>
      </c>
      <c r="R960" t="s">
        <v>1465</v>
      </c>
    </row>
    <row r="961" spans="1:18" x14ac:dyDescent="0.25">
      <c r="A961" s="33">
        <v>46043</v>
      </c>
      <c r="B961" s="1">
        <v>121900</v>
      </c>
      <c r="C961" s="2" t="s">
        <v>1406</v>
      </c>
      <c r="D961" s="34">
        <v>-1247.01</v>
      </c>
      <c r="E961" t="s">
        <v>20</v>
      </c>
      <c r="F961" s="2" t="e">
        <f>VLOOKUP(Tabla3[[#This Row],[CONTABLE]],'SAPROV (2)'!L:M,2,FALSE)</f>
        <v>#N/A</v>
      </c>
      <c r="H961" t="s">
        <v>588</v>
      </c>
      <c r="I961" s="2" t="str">
        <f>VLOOKUP(Tabla3[[#This Row],[Deposito]],'SAPROV (2)'!D:E,2,FALSE)</f>
        <v>A01</v>
      </c>
      <c r="K961" s="23" t="s">
        <v>23</v>
      </c>
      <c r="L961" s="2" t="str">
        <f>VLOOKUP(Tabla3[[#This Row],[PROVEEDOR]],'SAPROV (2)'!A:B,2,FALSE)</f>
        <v>04</v>
      </c>
      <c r="M961" t="str">
        <f>VLOOKUP(Tabla3[[#This Row],[SERVICIO]],'SAPROV (2)'!I:J,2,FALSE)</f>
        <v>SERV0060</v>
      </c>
      <c r="N961" t="s">
        <v>611</v>
      </c>
      <c r="P961">
        <f>VLOOKUP(Tabla3[[#This Row],[FECHA]],TASA[],2,FALSE)</f>
        <v>347.26</v>
      </c>
      <c r="Q961" s="4">
        <f t="shared" si="106"/>
        <v>-3.5909980994067845</v>
      </c>
      <c r="R961" t="s">
        <v>1465</v>
      </c>
    </row>
    <row r="962" spans="1:18" x14ac:dyDescent="0.25">
      <c r="A962" s="33">
        <v>46045</v>
      </c>
      <c r="B962" s="1">
        <v>82969448</v>
      </c>
      <c r="C962" s="2" t="s">
        <v>1407</v>
      </c>
      <c r="D962" s="34">
        <v>-2310</v>
      </c>
      <c r="E962" t="s">
        <v>20</v>
      </c>
      <c r="F962" s="2" t="e">
        <f>VLOOKUP(Tabla3[[#This Row],[CONTABLE]],'SAPROV (2)'!L:M,2,FALSE)</f>
        <v>#N/A</v>
      </c>
      <c r="H962" t="s">
        <v>588</v>
      </c>
      <c r="I962" s="2" t="str">
        <f>VLOOKUP(Tabla3[[#This Row],[Deposito]],'SAPROV (2)'!D:E,2,FALSE)</f>
        <v>A01</v>
      </c>
      <c r="K962" s="23" t="s">
        <v>23</v>
      </c>
      <c r="L962" s="23" t="str">
        <f>VLOOKUP(Tabla3[[#This Row],[PROVEEDOR]],'SAPROV (2)'!A:B,2,FALSE)</f>
        <v>04</v>
      </c>
      <c r="M962" t="str">
        <f>VLOOKUP(Tabla3[[#This Row],[SERVICIO]],'SAPROV (2)'!I:J,2,FALSE)</f>
        <v>SERV0060</v>
      </c>
      <c r="N962" t="s">
        <v>611</v>
      </c>
      <c r="P962">
        <f>VLOOKUP(Tabla3[[#This Row],[FECHA]],TASA[],2,FALSE)</f>
        <v>352.71</v>
      </c>
      <c r="Q962" s="4">
        <f t="shared" si="106"/>
        <v>-6.5492897848090506</v>
      </c>
      <c r="R962" t="s">
        <v>1465</v>
      </c>
    </row>
    <row r="963" spans="1:18" x14ac:dyDescent="0.25">
      <c r="A963" s="33">
        <v>46045</v>
      </c>
      <c r="B963" s="1">
        <v>230655</v>
      </c>
      <c r="C963" s="2" t="s">
        <v>1408</v>
      </c>
      <c r="D963" s="34">
        <v>-297.83</v>
      </c>
      <c r="E963" t="s">
        <v>20</v>
      </c>
      <c r="F963" s="2" t="e">
        <f>VLOOKUP(Tabla3[[#This Row],[CONTABLE]],'SAPROV (2)'!L:M,2,FALSE)</f>
        <v>#N/A</v>
      </c>
      <c r="H963" t="s">
        <v>588</v>
      </c>
      <c r="I963" s="2" t="str">
        <f>VLOOKUP(Tabla3[[#This Row],[Deposito]],'SAPROV (2)'!D:E,2,FALSE)</f>
        <v>A01</v>
      </c>
      <c r="K963" s="23" t="s">
        <v>23</v>
      </c>
      <c r="L963" s="23" t="str">
        <f>VLOOKUP(Tabla3[[#This Row],[PROVEEDOR]],'SAPROV (2)'!A:B,2,FALSE)</f>
        <v>04</v>
      </c>
      <c r="M963" t="str">
        <f>VLOOKUP(Tabla3[[#This Row],[SERVICIO]],'SAPROV (2)'!I:J,2,FALSE)</f>
        <v>SERV0060</v>
      </c>
      <c r="N963" t="s">
        <v>611</v>
      </c>
      <c r="P963">
        <f>VLOOKUP(Tabla3[[#This Row],[FECHA]],TASA[],2,FALSE)</f>
        <v>352.71</v>
      </c>
      <c r="Q963" s="4">
        <f t="shared" si="106"/>
        <v>-0.84440475177908192</v>
      </c>
      <c r="R963" t="s">
        <v>1465</v>
      </c>
    </row>
    <row r="964" spans="1:18" x14ac:dyDescent="0.25">
      <c r="A964" s="33">
        <v>46048</v>
      </c>
      <c r="B964" s="1">
        <v>113020</v>
      </c>
      <c r="C964" s="2" t="s">
        <v>1409</v>
      </c>
      <c r="D964" s="34">
        <v>-306.86</v>
      </c>
      <c r="E964" t="s">
        <v>20</v>
      </c>
      <c r="F964" s="2" t="e">
        <f>VLOOKUP(Tabla3[[#This Row],[CONTABLE]],'SAPROV (2)'!L:M,2,FALSE)</f>
        <v>#N/A</v>
      </c>
      <c r="H964" t="s">
        <v>588</v>
      </c>
      <c r="I964" s="2" t="str">
        <f>VLOOKUP(Tabla3[[#This Row],[Deposito]],'SAPROV (2)'!D:E,2,FALSE)</f>
        <v>A01</v>
      </c>
      <c r="K964" s="23" t="s">
        <v>23</v>
      </c>
      <c r="L964" s="2" t="str">
        <f>VLOOKUP(Tabla3[[#This Row],[PROVEEDOR]],'SAPROV (2)'!A:B,2,FALSE)</f>
        <v>04</v>
      </c>
      <c r="M964" t="str">
        <f>VLOOKUP(Tabla3[[#This Row],[SERVICIO]],'SAPROV (2)'!I:J,2,FALSE)</f>
        <v>SERV0060</v>
      </c>
      <c r="N964" t="s">
        <v>611</v>
      </c>
      <c r="P964">
        <f>VLOOKUP(Tabla3[[#This Row],[FECHA]],TASA[],2,FALSE)</f>
        <v>355.55</v>
      </c>
      <c r="Q964" s="4">
        <f t="shared" ref="Q964:Q1027" si="107">D964/P964</f>
        <v>-0.86305723526930112</v>
      </c>
      <c r="R964" t="s">
        <v>1465</v>
      </c>
    </row>
    <row r="965" spans="1:18" x14ac:dyDescent="0.25">
      <c r="A965" s="33">
        <v>46049</v>
      </c>
      <c r="B965" s="1">
        <v>67408</v>
      </c>
      <c r="C965" s="2" t="s">
        <v>1301</v>
      </c>
      <c r="D965" s="34">
        <v>-231.11</v>
      </c>
      <c r="E965" t="s">
        <v>20</v>
      </c>
      <c r="F965" s="2" t="e">
        <f>VLOOKUP(Tabla3[[#This Row],[CONTABLE]],'SAPROV (2)'!L:M,2,FALSE)</f>
        <v>#N/A</v>
      </c>
      <c r="H965" t="s">
        <v>588</v>
      </c>
      <c r="I965" s="2" t="str">
        <f>VLOOKUP(Tabla3[[#This Row],[Deposito]],'SAPROV (2)'!D:E,2,FALSE)</f>
        <v>A01</v>
      </c>
      <c r="K965" s="23" t="s">
        <v>23</v>
      </c>
      <c r="L965" s="23" t="str">
        <f>VLOOKUP(Tabla3[[#This Row],[PROVEEDOR]],'SAPROV (2)'!A:B,2,FALSE)</f>
        <v>04</v>
      </c>
      <c r="M965" t="str">
        <f>VLOOKUP(Tabla3[[#This Row],[SERVICIO]],'SAPROV (2)'!I:J,2,FALSE)</f>
        <v>SERV0060</v>
      </c>
      <c r="N965" t="s">
        <v>611</v>
      </c>
      <c r="P965">
        <f>VLOOKUP(Tabla3[[#This Row],[FECHA]],TASA[],2,FALSE)</f>
        <v>358.92</v>
      </c>
      <c r="Q965" s="4">
        <f t="shared" si="107"/>
        <v>-0.64390393402429513</v>
      </c>
      <c r="R965" t="s">
        <v>1465</v>
      </c>
    </row>
    <row r="966" spans="1:18" x14ac:dyDescent="0.25">
      <c r="A966" s="33">
        <v>46049</v>
      </c>
      <c r="B966" s="1">
        <v>98768</v>
      </c>
      <c r="C966" s="2" t="s">
        <v>1410</v>
      </c>
      <c r="D966" s="34">
        <v>-287136</v>
      </c>
      <c r="E966" t="s">
        <v>20</v>
      </c>
      <c r="F966" s="2" t="e">
        <f>VLOOKUP(Tabla3[[#This Row],[CONTABLE]],'SAPROV (2)'!L:M,2,FALSE)</f>
        <v>#N/A</v>
      </c>
      <c r="H966" t="s">
        <v>588</v>
      </c>
      <c r="I966" s="2" t="str">
        <f>VLOOKUP(Tabla3[[#This Row],[Deposito]],'SAPROV (2)'!D:E,2,FALSE)</f>
        <v>A01</v>
      </c>
      <c r="K966" t="s">
        <v>46</v>
      </c>
      <c r="L966" s="23" t="str">
        <f>VLOOKUP(Tabla3[[#This Row],[PROVEEDOR]],'SAPROV (2)'!A:B,2,FALSE)</f>
        <v>08</v>
      </c>
      <c r="M966" t="str">
        <f>VLOOKUP(Tabla3[[#This Row],[SERVICIO]],'SAPROV (2)'!I:J,2,FALSE)</f>
        <v>SERV0041</v>
      </c>
      <c r="N966" t="s">
        <v>750</v>
      </c>
      <c r="P966">
        <f>VLOOKUP(Tabla3[[#This Row],[FECHA]],TASA[],2,FALSE)</f>
        <v>358.92</v>
      </c>
      <c r="Q966" s="4">
        <f t="shared" si="107"/>
        <v>-800</v>
      </c>
      <c r="R966" t="s">
        <v>1465</v>
      </c>
    </row>
    <row r="967" spans="1:18" x14ac:dyDescent="0.25">
      <c r="A967" s="33">
        <v>46049</v>
      </c>
      <c r="B967" s="1">
        <v>98768</v>
      </c>
      <c r="C967" s="2" t="s">
        <v>1298</v>
      </c>
      <c r="D967" s="34">
        <v>-861.41</v>
      </c>
      <c r="E967" t="s">
        <v>20</v>
      </c>
      <c r="F967" s="2" t="e">
        <f>VLOOKUP(Tabla3[[#This Row],[CONTABLE]],'SAPROV (2)'!L:M,2,FALSE)</f>
        <v>#N/A</v>
      </c>
      <c r="H967" t="s">
        <v>588</v>
      </c>
      <c r="I967" s="2" t="str">
        <f>VLOOKUP(Tabla3[[#This Row],[Deposito]],'SAPROV (2)'!D:E,2,FALSE)</f>
        <v>A01</v>
      </c>
      <c r="K967" s="23" t="s">
        <v>23</v>
      </c>
      <c r="L967" s="2" t="str">
        <f>VLOOKUP(Tabla3[[#This Row],[PROVEEDOR]],'SAPROV (2)'!A:B,2,FALSE)</f>
        <v>04</v>
      </c>
      <c r="M967" t="str">
        <f>VLOOKUP(Tabla3[[#This Row],[SERVICIO]],'SAPROV (2)'!I:J,2,FALSE)</f>
        <v>SERV0060</v>
      </c>
      <c r="N967" t="s">
        <v>611</v>
      </c>
      <c r="P967">
        <f>VLOOKUP(Tabla3[[#This Row],[FECHA]],TASA[],2,FALSE)</f>
        <v>358.92</v>
      </c>
      <c r="Q967" s="4">
        <f t="shared" si="107"/>
        <v>-2.4000055722723723</v>
      </c>
      <c r="R967" t="s">
        <v>1465</v>
      </c>
    </row>
    <row r="968" spans="1:18" x14ac:dyDescent="0.25">
      <c r="A968" s="33">
        <v>46052</v>
      </c>
      <c r="B968" s="1">
        <v>186923</v>
      </c>
      <c r="C968" s="2" t="s">
        <v>1411</v>
      </c>
      <c r="D968" s="34">
        <v>-14459.6</v>
      </c>
      <c r="E968" t="s">
        <v>20</v>
      </c>
      <c r="F968" s="2" t="e">
        <f>VLOOKUP(Tabla3[[#This Row],[CONTABLE]],'SAPROV (2)'!L:M,2,FALSE)</f>
        <v>#N/A</v>
      </c>
      <c r="H968" t="s">
        <v>1278</v>
      </c>
      <c r="I968" s="2" t="str">
        <f>VLOOKUP(Tabla3[[#This Row],[Deposito]],'SAPROV (2)'!D:E,2,FALSE)</f>
        <v>06</v>
      </c>
      <c r="K968" s="2" t="s">
        <v>101</v>
      </c>
      <c r="L968" s="23" t="str">
        <f>VLOOKUP(Tabla3[[#This Row],[PROVEEDOR]],'SAPROV (2)'!A:B,2,FALSE)</f>
        <v>36</v>
      </c>
      <c r="M968" t="str">
        <f>VLOOKUP(Tabla3[[#This Row],[SERVICIO]],'SAPROV (2)'!I:J,2,FALSE)</f>
        <v>SERV0011</v>
      </c>
      <c r="N968" t="s">
        <v>927</v>
      </c>
      <c r="P968">
        <f>VLOOKUP(Tabla3[[#This Row],[FECHA]],TASA[],2,FALSE)</f>
        <v>367.31</v>
      </c>
      <c r="Q968" s="4">
        <f t="shared" si="107"/>
        <v>-39.366202934850669</v>
      </c>
      <c r="R968" t="s">
        <v>1465</v>
      </c>
    </row>
    <row r="969" spans="1:18" x14ac:dyDescent="0.25">
      <c r="A969" s="33">
        <v>46052</v>
      </c>
      <c r="B969" s="1">
        <v>186923</v>
      </c>
      <c r="C969" s="2" t="s">
        <v>1305</v>
      </c>
      <c r="D969" s="34">
        <v>-43.38</v>
      </c>
      <c r="E969" t="s">
        <v>20</v>
      </c>
      <c r="F969" s="2" t="e">
        <f>VLOOKUP(Tabla3[[#This Row],[CONTABLE]],'SAPROV (2)'!L:M,2,FALSE)</f>
        <v>#N/A</v>
      </c>
      <c r="H969" t="s">
        <v>588</v>
      </c>
      <c r="I969" s="2" t="str">
        <f>VLOOKUP(Tabla3[[#This Row],[Deposito]],'SAPROV (2)'!D:E,2,FALSE)</f>
        <v>A01</v>
      </c>
      <c r="K969" s="23" t="s">
        <v>23</v>
      </c>
      <c r="L969" s="23" t="str">
        <f>VLOOKUP(Tabla3[[#This Row],[PROVEEDOR]],'SAPROV (2)'!A:B,2,FALSE)</f>
        <v>04</v>
      </c>
      <c r="M969" t="str">
        <f>VLOOKUP(Tabla3[[#This Row],[SERVICIO]],'SAPROV (2)'!I:J,2,FALSE)</f>
        <v>SERV0060</v>
      </c>
      <c r="N969" t="s">
        <v>611</v>
      </c>
      <c r="P969">
        <f>VLOOKUP(Tabla3[[#This Row],[FECHA]],TASA[],2,FALSE)</f>
        <v>367.31</v>
      </c>
      <c r="Q969" s="4">
        <f t="shared" si="107"/>
        <v>-0.11810187579973321</v>
      </c>
      <c r="R969" t="s">
        <v>1465</v>
      </c>
    </row>
    <row r="970" spans="1:18" x14ac:dyDescent="0.25">
      <c r="A970" s="33">
        <v>46052</v>
      </c>
      <c r="B970" s="1">
        <v>186932</v>
      </c>
      <c r="C970" s="2" t="s">
        <v>1411</v>
      </c>
      <c r="D970" s="34">
        <v>-14459.6</v>
      </c>
      <c r="E970" t="s">
        <v>20</v>
      </c>
      <c r="F970" s="2" t="e">
        <f>VLOOKUP(Tabla3[[#This Row],[CONTABLE]],'SAPROV (2)'!L:M,2,FALSE)</f>
        <v>#N/A</v>
      </c>
      <c r="H970" t="s">
        <v>1278</v>
      </c>
      <c r="I970" s="2" t="str">
        <f>VLOOKUP(Tabla3[[#This Row],[Deposito]],'SAPROV (2)'!D:E,2,FALSE)</f>
        <v>06</v>
      </c>
      <c r="K970" s="2" t="s">
        <v>101</v>
      </c>
      <c r="L970" s="2" t="str">
        <f>VLOOKUP(Tabla3[[#This Row],[PROVEEDOR]],'SAPROV (2)'!A:B,2,FALSE)</f>
        <v>36</v>
      </c>
      <c r="M970" t="str">
        <f>VLOOKUP(Tabla3[[#This Row],[SERVICIO]],'SAPROV (2)'!I:J,2,FALSE)</f>
        <v>SERV0011</v>
      </c>
      <c r="N970" t="s">
        <v>927</v>
      </c>
      <c r="P970">
        <f>VLOOKUP(Tabla3[[#This Row],[FECHA]],TASA[],2,FALSE)</f>
        <v>367.31</v>
      </c>
      <c r="Q970" s="4">
        <f t="shared" si="107"/>
        <v>-39.366202934850669</v>
      </c>
      <c r="R970" t="s">
        <v>1465</v>
      </c>
    </row>
    <row r="971" spans="1:18" x14ac:dyDescent="0.25">
      <c r="A971" s="33">
        <v>46052</v>
      </c>
      <c r="B971" s="1">
        <v>186932</v>
      </c>
      <c r="C971" s="2" t="s">
        <v>1306</v>
      </c>
      <c r="D971" s="34">
        <v>-43.38</v>
      </c>
      <c r="E971" t="s">
        <v>20</v>
      </c>
      <c r="F971" s="2" t="e">
        <f>VLOOKUP(Tabla3[[#This Row],[CONTABLE]],'SAPROV (2)'!L:M,2,FALSE)</f>
        <v>#N/A</v>
      </c>
      <c r="H971" t="s">
        <v>588</v>
      </c>
      <c r="I971" s="2" t="str">
        <f>VLOOKUP(Tabla3[[#This Row],[Deposito]],'SAPROV (2)'!D:E,2,FALSE)</f>
        <v>A01</v>
      </c>
      <c r="K971" s="23" t="s">
        <v>23</v>
      </c>
      <c r="L971" s="23" t="str">
        <f>VLOOKUP(Tabla3[[#This Row],[PROVEEDOR]],'SAPROV (2)'!A:B,2,FALSE)</f>
        <v>04</v>
      </c>
      <c r="M971" t="str">
        <f>VLOOKUP(Tabla3[[#This Row],[SERVICIO]],'SAPROV (2)'!I:J,2,FALSE)</f>
        <v>SERV0060</v>
      </c>
      <c r="N971" t="s">
        <v>611</v>
      </c>
      <c r="P971">
        <f>VLOOKUP(Tabla3[[#This Row],[FECHA]],TASA[],2,FALSE)</f>
        <v>367.31</v>
      </c>
      <c r="Q971" s="4">
        <f t="shared" si="107"/>
        <v>-0.11810187579973321</v>
      </c>
      <c r="R971" t="s">
        <v>1465</v>
      </c>
    </row>
    <row r="972" spans="1:18" x14ac:dyDescent="0.25">
      <c r="A972" s="33">
        <v>46052</v>
      </c>
      <c r="B972" s="1">
        <v>186936</v>
      </c>
      <c r="C972" s="2" t="s">
        <v>1411</v>
      </c>
      <c r="D972" s="34">
        <v>-14459.6</v>
      </c>
      <c r="E972" t="s">
        <v>20</v>
      </c>
      <c r="F972" s="2" t="e">
        <f>VLOOKUP(Tabla3[[#This Row],[CONTABLE]],'SAPROV (2)'!L:M,2,FALSE)</f>
        <v>#N/A</v>
      </c>
      <c r="H972" t="s">
        <v>1278</v>
      </c>
      <c r="I972" s="2" t="str">
        <f>VLOOKUP(Tabla3[[#This Row],[Deposito]],'SAPROV (2)'!D:E,2,FALSE)</f>
        <v>06</v>
      </c>
      <c r="K972" s="2" t="s">
        <v>101</v>
      </c>
      <c r="L972" s="23" t="str">
        <f>VLOOKUP(Tabla3[[#This Row],[PROVEEDOR]],'SAPROV (2)'!A:B,2,FALSE)</f>
        <v>36</v>
      </c>
      <c r="M972" t="str">
        <f>VLOOKUP(Tabla3[[#This Row],[SERVICIO]],'SAPROV (2)'!I:J,2,FALSE)</f>
        <v>SERV0011</v>
      </c>
      <c r="N972" t="s">
        <v>927</v>
      </c>
      <c r="P972">
        <f>VLOOKUP(Tabla3[[#This Row],[FECHA]],TASA[],2,FALSE)</f>
        <v>367.31</v>
      </c>
      <c r="Q972" s="4">
        <f t="shared" si="107"/>
        <v>-39.366202934850669</v>
      </c>
      <c r="R972" t="s">
        <v>1465</v>
      </c>
    </row>
    <row r="973" spans="1:18" x14ac:dyDescent="0.25">
      <c r="A973" s="33">
        <v>46052</v>
      </c>
      <c r="B973" s="1">
        <v>186936</v>
      </c>
      <c r="C973" s="2" t="s">
        <v>1308</v>
      </c>
      <c r="D973" s="34">
        <v>-43.38</v>
      </c>
      <c r="E973" t="s">
        <v>20</v>
      </c>
      <c r="F973" s="2" t="e">
        <f>VLOOKUP(Tabla3[[#This Row],[CONTABLE]],'SAPROV (2)'!L:M,2,FALSE)</f>
        <v>#N/A</v>
      </c>
      <c r="H973" t="s">
        <v>588</v>
      </c>
      <c r="I973" s="2" t="str">
        <f>VLOOKUP(Tabla3[[#This Row],[Deposito]],'SAPROV (2)'!D:E,2,FALSE)</f>
        <v>A01</v>
      </c>
      <c r="K973" s="23" t="s">
        <v>23</v>
      </c>
      <c r="L973" s="2" t="str">
        <f>VLOOKUP(Tabla3[[#This Row],[PROVEEDOR]],'SAPROV (2)'!A:B,2,FALSE)</f>
        <v>04</v>
      </c>
      <c r="M973" t="str">
        <f>VLOOKUP(Tabla3[[#This Row],[SERVICIO]],'SAPROV (2)'!I:J,2,FALSE)</f>
        <v>SERV0060</v>
      </c>
      <c r="N973" t="s">
        <v>611</v>
      </c>
      <c r="P973">
        <f>VLOOKUP(Tabla3[[#This Row],[FECHA]],TASA[],2,FALSE)</f>
        <v>367.31</v>
      </c>
      <c r="Q973" s="4">
        <f t="shared" si="107"/>
        <v>-0.11810187579973321</v>
      </c>
      <c r="R973" t="s">
        <v>1465</v>
      </c>
    </row>
    <row r="974" spans="1:18" x14ac:dyDescent="0.25">
      <c r="A974" s="33">
        <v>46052</v>
      </c>
      <c r="B974" s="1">
        <v>186938</v>
      </c>
      <c r="C974" s="2" t="s">
        <v>1411</v>
      </c>
      <c r="D974" s="34">
        <v>-14459.6</v>
      </c>
      <c r="E974" t="s">
        <v>20</v>
      </c>
      <c r="F974" s="2" t="e">
        <f>VLOOKUP(Tabla3[[#This Row],[CONTABLE]],'SAPROV (2)'!L:M,2,FALSE)</f>
        <v>#N/A</v>
      </c>
      <c r="H974" t="s">
        <v>1278</v>
      </c>
      <c r="I974" s="2" t="str">
        <f>VLOOKUP(Tabla3[[#This Row],[Deposito]],'SAPROV (2)'!D:E,2,FALSE)</f>
        <v>06</v>
      </c>
      <c r="K974" s="2" t="s">
        <v>101</v>
      </c>
      <c r="L974" s="23" t="str">
        <f>VLOOKUP(Tabla3[[#This Row],[PROVEEDOR]],'SAPROV (2)'!A:B,2,FALSE)</f>
        <v>36</v>
      </c>
      <c r="M974" t="str">
        <f>VLOOKUP(Tabla3[[#This Row],[SERVICIO]],'SAPROV (2)'!I:J,2,FALSE)</f>
        <v>SERV0011</v>
      </c>
      <c r="N974" t="s">
        <v>927</v>
      </c>
      <c r="P974">
        <f>VLOOKUP(Tabla3[[#This Row],[FECHA]],TASA[],2,FALSE)</f>
        <v>367.31</v>
      </c>
      <c r="Q974" s="4">
        <f t="shared" si="107"/>
        <v>-39.366202934850669</v>
      </c>
      <c r="R974" t="s">
        <v>1465</v>
      </c>
    </row>
    <row r="975" spans="1:18" x14ac:dyDescent="0.25">
      <c r="A975" s="33">
        <v>46052</v>
      </c>
      <c r="B975" s="1">
        <v>186938</v>
      </c>
      <c r="C975" s="2" t="s">
        <v>1310</v>
      </c>
      <c r="D975" s="34">
        <v>-43.38</v>
      </c>
      <c r="E975" t="s">
        <v>20</v>
      </c>
      <c r="F975" s="2" t="e">
        <f>VLOOKUP(Tabla3[[#This Row],[CONTABLE]],'SAPROV (2)'!L:M,2,FALSE)</f>
        <v>#N/A</v>
      </c>
      <c r="H975" t="s">
        <v>588</v>
      </c>
      <c r="I975" s="2" t="str">
        <f>VLOOKUP(Tabla3[[#This Row],[Deposito]],'SAPROV (2)'!D:E,2,FALSE)</f>
        <v>A01</v>
      </c>
      <c r="K975" s="23" t="s">
        <v>23</v>
      </c>
      <c r="L975" s="23" t="str">
        <f>VLOOKUP(Tabla3[[#This Row],[PROVEEDOR]],'SAPROV (2)'!A:B,2,FALSE)</f>
        <v>04</v>
      </c>
      <c r="M975" t="str">
        <f>VLOOKUP(Tabla3[[#This Row],[SERVICIO]],'SAPROV (2)'!I:J,2,FALSE)</f>
        <v>SERV0060</v>
      </c>
      <c r="N975" t="s">
        <v>611</v>
      </c>
      <c r="P975">
        <f>VLOOKUP(Tabla3[[#This Row],[FECHA]],TASA[],2,FALSE)</f>
        <v>367.31</v>
      </c>
      <c r="Q975" s="4">
        <f t="shared" si="107"/>
        <v>-0.11810187579973321</v>
      </c>
      <c r="R975" t="s">
        <v>1465</v>
      </c>
    </row>
    <row r="976" spans="1:18" x14ac:dyDescent="0.25">
      <c r="A976" s="33">
        <v>46052</v>
      </c>
      <c r="B976" s="1">
        <v>186941</v>
      </c>
      <c r="C976" s="2" t="s">
        <v>1411</v>
      </c>
      <c r="D976" s="34">
        <v>-14459.6</v>
      </c>
      <c r="E976" t="s">
        <v>20</v>
      </c>
      <c r="F976" s="2" t="e">
        <f>VLOOKUP(Tabla3[[#This Row],[CONTABLE]],'SAPROV (2)'!L:M,2,FALSE)</f>
        <v>#N/A</v>
      </c>
      <c r="H976" t="s">
        <v>1278</v>
      </c>
      <c r="I976" s="2" t="str">
        <f>VLOOKUP(Tabla3[[#This Row],[Deposito]],'SAPROV (2)'!D:E,2,FALSE)</f>
        <v>06</v>
      </c>
      <c r="K976" s="2" t="s">
        <v>101</v>
      </c>
      <c r="L976" s="2" t="str">
        <f>VLOOKUP(Tabla3[[#This Row],[PROVEEDOR]],'SAPROV (2)'!A:B,2,FALSE)</f>
        <v>36</v>
      </c>
      <c r="M976" t="str">
        <f>VLOOKUP(Tabla3[[#This Row],[SERVICIO]],'SAPROV (2)'!I:J,2,FALSE)</f>
        <v>SERV0011</v>
      </c>
      <c r="N976" t="s">
        <v>927</v>
      </c>
      <c r="P976">
        <f>VLOOKUP(Tabla3[[#This Row],[FECHA]],TASA[],2,FALSE)</f>
        <v>367.31</v>
      </c>
      <c r="Q976" s="4">
        <f t="shared" si="107"/>
        <v>-39.366202934850669</v>
      </c>
      <c r="R976" t="s">
        <v>1465</v>
      </c>
    </row>
    <row r="977" spans="1:18" x14ac:dyDescent="0.25">
      <c r="A977" s="33">
        <v>46052</v>
      </c>
      <c r="B977" s="1">
        <v>186941</v>
      </c>
      <c r="C977" s="2" t="s">
        <v>1312</v>
      </c>
      <c r="D977" s="34">
        <v>-43.38</v>
      </c>
      <c r="E977" t="s">
        <v>20</v>
      </c>
      <c r="F977" s="2" t="e">
        <f>VLOOKUP(Tabla3[[#This Row],[CONTABLE]],'SAPROV (2)'!L:M,2,FALSE)</f>
        <v>#N/A</v>
      </c>
      <c r="H977" t="s">
        <v>588</v>
      </c>
      <c r="I977" s="2" t="str">
        <f>VLOOKUP(Tabla3[[#This Row],[Deposito]],'SAPROV (2)'!D:E,2,FALSE)</f>
        <v>A01</v>
      </c>
      <c r="K977" s="23" t="s">
        <v>23</v>
      </c>
      <c r="L977" s="23" t="str">
        <f>VLOOKUP(Tabla3[[#This Row],[PROVEEDOR]],'SAPROV (2)'!A:B,2,FALSE)</f>
        <v>04</v>
      </c>
      <c r="M977" t="str">
        <f>VLOOKUP(Tabla3[[#This Row],[SERVICIO]],'SAPROV (2)'!I:J,2,FALSE)</f>
        <v>SERV0060</v>
      </c>
      <c r="N977" t="s">
        <v>611</v>
      </c>
      <c r="P977">
        <f>VLOOKUP(Tabla3[[#This Row],[FECHA]],TASA[],2,FALSE)</f>
        <v>367.31</v>
      </c>
      <c r="Q977" s="4">
        <f t="shared" si="107"/>
        <v>-0.11810187579973321</v>
      </c>
      <c r="R977" t="s">
        <v>1465</v>
      </c>
    </row>
    <row r="978" spans="1:18" x14ac:dyDescent="0.25">
      <c r="A978" s="33">
        <v>46052</v>
      </c>
      <c r="B978" s="1">
        <v>186943</v>
      </c>
      <c r="C978" s="2" t="s">
        <v>1411</v>
      </c>
      <c r="D978" s="34">
        <v>-14459.6</v>
      </c>
      <c r="E978" t="s">
        <v>20</v>
      </c>
      <c r="F978" s="2" t="e">
        <f>VLOOKUP(Tabla3[[#This Row],[CONTABLE]],'SAPROV (2)'!L:M,2,FALSE)</f>
        <v>#N/A</v>
      </c>
      <c r="H978" t="s">
        <v>1278</v>
      </c>
      <c r="I978" s="2" t="str">
        <f>VLOOKUP(Tabla3[[#This Row],[Deposito]],'SAPROV (2)'!D:E,2,FALSE)</f>
        <v>06</v>
      </c>
      <c r="K978" s="2" t="s">
        <v>101</v>
      </c>
      <c r="L978" s="23" t="str">
        <f>VLOOKUP(Tabla3[[#This Row],[PROVEEDOR]],'SAPROV (2)'!A:B,2,FALSE)</f>
        <v>36</v>
      </c>
      <c r="M978" t="str">
        <f>VLOOKUP(Tabla3[[#This Row],[SERVICIO]],'SAPROV (2)'!I:J,2,FALSE)</f>
        <v>SERV0011</v>
      </c>
      <c r="N978" t="s">
        <v>927</v>
      </c>
      <c r="P978">
        <f>VLOOKUP(Tabla3[[#This Row],[FECHA]],TASA[],2,FALSE)</f>
        <v>367.31</v>
      </c>
      <c r="Q978" s="4">
        <f t="shared" si="107"/>
        <v>-39.366202934850669</v>
      </c>
      <c r="R978" t="s">
        <v>1465</v>
      </c>
    </row>
    <row r="979" spans="1:18" x14ac:dyDescent="0.25">
      <c r="A979" s="33">
        <v>46052</v>
      </c>
      <c r="B979" s="1">
        <v>186943</v>
      </c>
      <c r="C979" s="2" t="s">
        <v>1314</v>
      </c>
      <c r="D979" s="34">
        <v>-43.38</v>
      </c>
      <c r="E979" t="s">
        <v>20</v>
      </c>
      <c r="F979" s="2" t="e">
        <f>VLOOKUP(Tabla3[[#This Row],[CONTABLE]],'SAPROV (2)'!L:M,2,FALSE)</f>
        <v>#N/A</v>
      </c>
      <c r="H979" t="s">
        <v>588</v>
      </c>
      <c r="I979" s="2" t="str">
        <f>VLOOKUP(Tabla3[[#This Row],[Deposito]],'SAPROV (2)'!D:E,2,FALSE)</f>
        <v>A01</v>
      </c>
      <c r="K979" s="23" t="s">
        <v>23</v>
      </c>
      <c r="L979" s="2" t="str">
        <f>VLOOKUP(Tabla3[[#This Row],[PROVEEDOR]],'SAPROV (2)'!A:B,2,FALSE)</f>
        <v>04</v>
      </c>
      <c r="M979" t="str">
        <f>VLOOKUP(Tabla3[[#This Row],[SERVICIO]],'SAPROV (2)'!I:J,2,FALSE)</f>
        <v>SERV0060</v>
      </c>
      <c r="N979" t="s">
        <v>611</v>
      </c>
      <c r="P979">
        <f>VLOOKUP(Tabla3[[#This Row],[FECHA]],TASA[],2,FALSE)</f>
        <v>367.31</v>
      </c>
      <c r="Q979" s="4">
        <f t="shared" si="107"/>
        <v>-0.11810187579973321</v>
      </c>
      <c r="R979" t="s">
        <v>1465</v>
      </c>
    </row>
    <row r="980" spans="1:18" x14ac:dyDescent="0.25">
      <c r="A980" s="33">
        <v>46052</v>
      </c>
      <c r="B980" s="1">
        <v>186948</v>
      </c>
      <c r="C980" s="2" t="s">
        <v>1411</v>
      </c>
      <c r="D980" s="34">
        <v>-14459.6</v>
      </c>
      <c r="E980" t="s">
        <v>20</v>
      </c>
      <c r="F980" s="2" t="e">
        <f>VLOOKUP(Tabla3[[#This Row],[CONTABLE]],'SAPROV (2)'!L:M,2,FALSE)</f>
        <v>#N/A</v>
      </c>
      <c r="H980" t="s">
        <v>1278</v>
      </c>
      <c r="I980" s="2" t="str">
        <f>VLOOKUP(Tabla3[[#This Row],[Deposito]],'SAPROV (2)'!D:E,2,FALSE)</f>
        <v>06</v>
      </c>
      <c r="K980" s="2" t="s">
        <v>101</v>
      </c>
      <c r="L980" s="23" t="str">
        <f>VLOOKUP(Tabla3[[#This Row],[PROVEEDOR]],'SAPROV (2)'!A:B,2,FALSE)</f>
        <v>36</v>
      </c>
      <c r="M980" t="str">
        <f>VLOOKUP(Tabla3[[#This Row],[SERVICIO]],'SAPROV (2)'!I:J,2,FALSE)</f>
        <v>SERV0011</v>
      </c>
      <c r="N980" t="s">
        <v>927</v>
      </c>
      <c r="P980">
        <f>VLOOKUP(Tabla3[[#This Row],[FECHA]],TASA[],2,FALSE)</f>
        <v>367.31</v>
      </c>
      <c r="Q980" s="4">
        <f t="shared" si="107"/>
        <v>-39.366202934850669</v>
      </c>
      <c r="R980" t="s">
        <v>1465</v>
      </c>
    </row>
    <row r="981" spans="1:18" x14ac:dyDescent="0.25">
      <c r="A981" s="33">
        <v>46052</v>
      </c>
      <c r="B981" s="1">
        <v>186948</v>
      </c>
      <c r="C981" s="2" t="s">
        <v>1316</v>
      </c>
      <c r="D981" s="34">
        <v>-43.38</v>
      </c>
      <c r="E981" t="s">
        <v>20</v>
      </c>
      <c r="F981" s="2" t="e">
        <f>VLOOKUP(Tabla3[[#This Row],[CONTABLE]],'SAPROV (2)'!L:M,2,FALSE)</f>
        <v>#N/A</v>
      </c>
      <c r="H981" t="s">
        <v>588</v>
      </c>
      <c r="I981" s="2" t="str">
        <f>VLOOKUP(Tabla3[[#This Row],[Deposito]],'SAPROV (2)'!D:E,2,FALSE)</f>
        <v>A01</v>
      </c>
      <c r="K981" s="23" t="s">
        <v>23</v>
      </c>
      <c r="L981" s="23" t="str">
        <f>VLOOKUP(Tabla3[[#This Row],[PROVEEDOR]],'SAPROV (2)'!A:B,2,FALSE)</f>
        <v>04</v>
      </c>
      <c r="M981" t="str">
        <f>VLOOKUP(Tabla3[[#This Row],[SERVICIO]],'SAPROV (2)'!I:J,2,FALSE)</f>
        <v>SERV0060</v>
      </c>
      <c r="N981" t="s">
        <v>611</v>
      </c>
      <c r="P981">
        <f>VLOOKUP(Tabla3[[#This Row],[FECHA]],TASA[],2,FALSE)</f>
        <v>367.31</v>
      </c>
      <c r="Q981" s="4">
        <f t="shared" si="107"/>
        <v>-0.11810187579973321</v>
      </c>
      <c r="R981" t="s">
        <v>1465</v>
      </c>
    </row>
    <row r="982" spans="1:18" x14ac:dyDescent="0.25">
      <c r="A982" s="33">
        <v>46052</v>
      </c>
      <c r="B982" s="1">
        <v>186952</v>
      </c>
      <c r="C982" s="2" t="s">
        <v>1411</v>
      </c>
      <c r="D982" s="34">
        <v>-14459.6</v>
      </c>
      <c r="E982" t="s">
        <v>20</v>
      </c>
      <c r="F982" s="2" t="e">
        <f>VLOOKUP(Tabla3[[#This Row],[CONTABLE]],'SAPROV (2)'!L:M,2,FALSE)</f>
        <v>#N/A</v>
      </c>
      <c r="H982" t="s">
        <v>1278</v>
      </c>
      <c r="I982" s="2" t="str">
        <f>VLOOKUP(Tabla3[[#This Row],[Deposito]],'SAPROV (2)'!D:E,2,FALSE)</f>
        <v>06</v>
      </c>
      <c r="K982" s="2" t="s">
        <v>101</v>
      </c>
      <c r="L982" s="2" t="str">
        <f>VLOOKUP(Tabla3[[#This Row],[PROVEEDOR]],'SAPROV (2)'!A:B,2,FALSE)</f>
        <v>36</v>
      </c>
      <c r="M982" t="str">
        <f>VLOOKUP(Tabla3[[#This Row],[SERVICIO]],'SAPROV (2)'!I:J,2,FALSE)</f>
        <v>SERV0011</v>
      </c>
      <c r="N982" t="s">
        <v>927</v>
      </c>
      <c r="P982">
        <f>VLOOKUP(Tabla3[[#This Row],[FECHA]],TASA[],2,FALSE)</f>
        <v>367.31</v>
      </c>
      <c r="Q982" s="4">
        <f t="shared" si="107"/>
        <v>-39.366202934850669</v>
      </c>
      <c r="R982" t="s">
        <v>1465</v>
      </c>
    </row>
    <row r="983" spans="1:18" x14ac:dyDescent="0.25">
      <c r="A983" s="33">
        <v>46052</v>
      </c>
      <c r="B983" s="1">
        <v>186952</v>
      </c>
      <c r="C983" s="2" t="s">
        <v>1318</v>
      </c>
      <c r="D983" s="34">
        <v>-43.38</v>
      </c>
      <c r="E983" t="s">
        <v>20</v>
      </c>
      <c r="F983" s="2" t="e">
        <f>VLOOKUP(Tabla3[[#This Row],[CONTABLE]],'SAPROV (2)'!L:M,2,FALSE)</f>
        <v>#N/A</v>
      </c>
      <c r="H983" t="s">
        <v>588</v>
      </c>
      <c r="I983" s="2" t="str">
        <f>VLOOKUP(Tabla3[[#This Row],[Deposito]],'SAPROV (2)'!D:E,2,FALSE)</f>
        <v>A01</v>
      </c>
      <c r="K983" s="23" t="s">
        <v>23</v>
      </c>
      <c r="L983" s="23" t="str">
        <f>VLOOKUP(Tabla3[[#This Row],[PROVEEDOR]],'SAPROV (2)'!A:B,2,FALSE)</f>
        <v>04</v>
      </c>
      <c r="M983" t="str">
        <f>VLOOKUP(Tabla3[[#This Row],[SERVICIO]],'SAPROV (2)'!I:J,2,FALSE)</f>
        <v>SERV0060</v>
      </c>
      <c r="N983" t="s">
        <v>611</v>
      </c>
      <c r="P983">
        <f>VLOOKUP(Tabla3[[#This Row],[FECHA]],TASA[],2,FALSE)</f>
        <v>367.31</v>
      </c>
      <c r="Q983" s="4">
        <f t="shared" si="107"/>
        <v>-0.11810187579973321</v>
      </c>
      <c r="R983" t="s">
        <v>1465</v>
      </c>
    </row>
    <row r="984" spans="1:18" x14ac:dyDescent="0.25">
      <c r="A984" s="33">
        <v>46052</v>
      </c>
      <c r="B984" s="1">
        <v>186960</v>
      </c>
      <c r="C984" s="2" t="s">
        <v>1411</v>
      </c>
      <c r="D984" s="34">
        <v>-14459.6</v>
      </c>
      <c r="E984" t="s">
        <v>20</v>
      </c>
      <c r="F984" s="2" t="e">
        <f>VLOOKUP(Tabla3[[#This Row],[CONTABLE]],'SAPROV (2)'!L:M,2,FALSE)</f>
        <v>#N/A</v>
      </c>
      <c r="H984" t="s">
        <v>1278</v>
      </c>
      <c r="I984" s="2" t="str">
        <f>VLOOKUP(Tabla3[[#This Row],[Deposito]],'SAPROV (2)'!D:E,2,FALSE)</f>
        <v>06</v>
      </c>
      <c r="K984" s="2" t="s">
        <v>101</v>
      </c>
      <c r="L984" s="23" t="str">
        <f>VLOOKUP(Tabla3[[#This Row],[PROVEEDOR]],'SAPROV (2)'!A:B,2,FALSE)</f>
        <v>36</v>
      </c>
      <c r="M984" t="str">
        <f>VLOOKUP(Tabla3[[#This Row],[SERVICIO]],'SAPROV (2)'!I:J,2,FALSE)</f>
        <v>SERV0011</v>
      </c>
      <c r="N984" t="s">
        <v>927</v>
      </c>
      <c r="P984">
        <f>VLOOKUP(Tabla3[[#This Row],[FECHA]],TASA[],2,FALSE)</f>
        <v>367.31</v>
      </c>
      <c r="Q984" s="4">
        <f t="shared" si="107"/>
        <v>-39.366202934850669</v>
      </c>
      <c r="R984" t="s">
        <v>1465</v>
      </c>
    </row>
    <row r="985" spans="1:18" x14ac:dyDescent="0.25">
      <c r="A985" s="33">
        <v>46052</v>
      </c>
      <c r="B985" s="1">
        <v>186960</v>
      </c>
      <c r="C985" s="2" t="s">
        <v>1320</v>
      </c>
      <c r="D985" s="34">
        <v>-43.38</v>
      </c>
      <c r="E985" t="s">
        <v>20</v>
      </c>
      <c r="F985" s="2" t="e">
        <f>VLOOKUP(Tabla3[[#This Row],[CONTABLE]],'SAPROV (2)'!L:M,2,FALSE)</f>
        <v>#N/A</v>
      </c>
      <c r="H985" t="s">
        <v>588</v>
      </c>
      <c r="I985" s="2" t="str">
        <f>VLOOKUP(Tabla3[[#This Row],[Deposito]],'SAPROV (2)'!D:E,2,FALSE)</f>
        <v>A01</v>
      </c>
      <c r="K985" s="23" t="s">
        <v>23</v>
      </c>
      <c r="L985" s="2" t="str">
        <f>VLOOKUP(Tabla3[[#This Row],[PROVEEDOR]],'SAPROV (2)'!A:B,2,FALSE)</f>
        <v>04</v>
      </c>
      <c r="M985" t="str">
        <f>VLOOKUP(Tabla3[[#This Row],[SERVICIO]],'SAPROV (2)'!I:J,2,FALSE)</f>
        <v>SERV0060</v>
      </c>
      <c r="N985" t="s">
        <v>611</v>
      </c>
      <c r="P985">
        <f>VLOOKUP(Tabla3[[#This Row],[FECHA]],TASA[],2,FALSE)</f>
        <v>367.31</v>
      </c>
      <c r="Q985" s="4">
        <f t="shared" si="107"/>
        <v>-0.11810187579973321</v>
      </c>
      <c r="R985" t="s">
        <v>1465</v>
      </c>
    </row>
    <row r="986" spans="1:18" x14ac:dyDescent="0.25">
      <c r="A986" s="33">
        <v>46052</v>
      </c>
      <c r="B986" s="1">
        <v>186967</v>
      </c>
      <c r="C986" s="2" t="s">
        <v>1412</v>
      </c>
      <c r="D986" s="34">
        <v>-14459.6</v>
      </c>
      <c r="E986" t="s">
        <v>20</v>
      </c>
      <c r="F986" s="2" t="e">
        <f>VLOOKUP(Tabla3[[#This Row],[CONTABLE]],'SAPROV (2)'!L:M,2,FALSE)</f>
        <v>#N/A</v>
      </c>
      <c r="H986" t="s">
        <v>1281</v>
      </c>
      <c r="I986" s="2" t="str">
        <f>VLOOKUP(Tabla3[[#This Row],[Deposito]],'SAPROV (2)'!D:E,2,FALSE)</f>
        <v>07</v>
      </c>
      <c r="K986" s="2" t="s">
        <v>101</v>
      </c>
      <c r="L986" s="23" t="str">
        <f>VLOOKUP(Tabla3[[#This Row],[PROVEEDOR]],'SAPROV (2)'!A:B,2,FALSE)</f>
        <v>36</v>
      </c>
      <c r="M986" t="str">
        <f>VLOOKUP(Tabla3[[#This Row],[SERVICIO]],'SAPROV (2)'!I:J,2,FALSE)</f>
        <v>SERV0011</v>
      </c>
      <c r="N986" t="s">
        <v>927</v>
      </c>
      <c r="P986">
        <f>VLOOKUP(Tabla3[[#This Row],[FECHA]],TASA[],2,FALSE)</f>
        <v>367.31</v>
      </c>
      <c r="Q986" s="4">
        <f t="shared" si="107"/>
        <v>-39.366202934850669</v>
      </c>
      <c r="R986" t="s">
        <v>1465</v>
      </c>
    </row>
    <row r="987" spans="1:18" x14ac:dyDescent="0.25">
      <c r="A987" s="33">
        <v>46052</v>
      </c>
      <c r="B987" s="1">
        <v>186967</v>
      </c>
      <c r="C987" s="2" t="s">
        <v>1322</v>
      </c>
      <c r="D987" s="34">
        <v>-43.38</v>
      </c>
      <c r="E987" t="s">
        <v>20</v>
      </c>
      <c r="F987" s="2" t="e">
        <f>VLOOKUP(Tabla3[[#This Row],[CONTABLE]],'SAPROV (2)'!L:M,2,FALSE)</f>
        <v>#N/A</v>
      </c>
      <c r="H987" t="s">
        <v>588</v>
      </c>
      <c r="I987" s="2" t="str">
        <f>VLOOKUP(Tabla3[[#This Row],[Deposito]],'SAPROV (2)'!D:E,2,FALSE)</f>
        <v>A01</v>
      </c>
      <c r="K987" s="23" t="s">
        <v>23</v>
      </c>
      <c r="L987" s="23" t="str">
        <f>VLOOKUP(Tabla3[[#This Row],[PROVEEDOR]],'SAPROV (2)'!A:B,2,FALSE)</f>
        <v>04</v>
      </c>
      <c r="M987" t="str">
        <f>VLOOKUP(Tabla3[[#This Row],[SERVICIO]],'SAPROV (2)'!I:J,2,FALSE)</f>
        <v>SERV0060</v>
      </c>
      <c r="N987" t="s">
        <v>611</v>
      </c>
      <c r="P987">
        <f>VLOOKUP(Tabla3[[#This Row],[FECHA]],TASA[],2,FALSE)</f>
        <v>367.31</v>
      </c>
      <c r="Q987" s="4">
        <f t="shared" si="107"/>
        <v>-0.11810187579973321</v>
      </c>
      <c r="R987" t="s">
        <v>1465</v>
      </c>
    </row>
    <row r="988" spans="1:18" x14ac:dyDescent="0.25">
      <c r="A988" s="33">
        <v>46052</v>
      </c>
      <c r="B988" s="1">
        <v>186971</v>
      </c>
      <c r="C988" s="2" t="s">
        <v>1412</v>
      </c>
      <c r="D988" s="34">
        <v>-14459.6</v>
      </c>
      <c r="E988" t="s">
        <v>20</v>
      </c>
      <c r="F988" s="2" t="e">
        <f>VLOOKUP(Tabla3[[#This Row],[CONTABLE]],'SAPROV (2)'!L:M,2,FALSE)</f>
        <v>#N/A</v>
      </c>
      <c r="H988" t="s">
        <v>1281</v>
      </c>
      <c r="I988" s="2" t="str">
        <f>VLOOKUP(Tabla3[[#This Row],[Deposito]],'SAPROV (2)'!D:E,2,FALSE)</f>
        <v>07</v>
      </c>
      <c r="K988" s="2" t="s">
        <v>101</v>
      </c>
      <c r="L988" s="2" t="str">
        <f>VLOOKUP(Tabla3[[#This Row],[PROVEEDOR]],'SAPROV (2)'!A:B,2,FALSE)</f>
        <v>36</v>
      </c>
      <c r="M988" t="str">
        <f>VLOOKUP(Tabla3[[#This Row],[SERVICIO]],'SAPROV (2)'!I:J,2,FALSE)</f>
        <v>SERV0011</v>
      </c>
      <c r="N988" t="s">
        <v>927</v>
      </c>
      <c r="P988">
        <f>VLOOKUP(Tabla3[[#This Row],[FECHA]],TASA[],2,FALSE)</f>
        <v>367.31</v>
      </c>
      <c r="Q988" s="4">
        <f t="shared" si="107"/>
        <v>-39.366202934850669</v>
      </c>
      <c r="R988" t="s">
        <v>1465</v>
      </c>
    </row>
    <row r="989" spans="1:18" x14ac:dyDescent="0.25">
      <c r="A989" s="33">
        <v>46052</v>
      </c>
      <c r="B989" s="1">
        <v>186971</v>
      </c>
      <c r="C989" s="2" t="s">
        <v>1324</v>
      </c>
      <c r="D989" s="34">
        <v>-43.38</v>
      </c>
      <c r="E989" t="s">
        <v>20</v>
      </c>
      <c r="F989" s="2" t="e">
        <f>VLOOKUP(Tabla3[[#This Row],[CONTABLE]],'SAPROV (2)'!L:M,2,FALSE)</f>
        <v>#N/A</v>
      </c>
      <c r="H989" t="s">
        <v>588</v>
      </c>
      <c r="I989" s="2" t="str">
        <f>VLOOKUP(Tabla3[[#This Row],[Deposito]],'SAPROV (2)'!D:E,2,FALSE)</f>
        <v>A01</v>
      </c>
      <c r="K989" s="23" t="s">
        <v>23</v>
      </c>
      <c r="L989" s="23" t="str">
        <f>VLOOKUP(Tabla3[[#This Row],[PROVEEDOR]],'SAPROV (2)'!A:B,2,FALSE)</f>
        <v>04</v>
      </c>
      <c r="M989" t="str">
        <f>VLOOKUP(Tabla3[[#This Row],[SERVICIO]],'SAPROV (2)'!I:J,2,FALSE)</f>
        <v>SERV0060</v>
      </c>
      <c r="N989" t="s">
        <v>611</v>
      </c>
      <c r="P989">
        <f>VLOOKUP(Tabla3[[#This Row],[FECHA]],TASA[],2,FALSE)</f>
        <v>367.31</v>
      </c>
      <c r="Q989" s="4">
        <f t="shared" si="107"/>
        <v>-0.11810187579973321</v>
      </c>
      <c r="R989" t="s">
        <v>1465</v>
      </c>
    </row>
    <row r="990" spans="1:18" x14ac:dyDescent="0.25">
      <c r="A990" s="33">
        <v>46052</v>
      </c>
      <c r="B990" s="1">
        <v>186979</v>
      </c>
      <c r="C990" s="2" t="s">
        <v>1412</v>
      </c>
      <c r="D990" s="34">
        <v>-14459.6</v>
      </c>
      <c r="E990" t="s">
        <v>20</v>
      </c>
      <c r="F990" s="2" t="e">
        <f>VLOOKUP(Tabla3[[#This Row],[CONTABLE]],'SAPROV (2)'!L:M,2,FALSE)</f>
        <v>#N/A</v>
      </c>
      <c r="H990" t="s">
        <v>1281</v>
      </c>
      <c r="I990" s="2" t="str">
        <f>VLOOKUP(Tabla3[[#This Row],[Deposito]],'SAPROV (2)'!D:E,2,FALSE)</f>
        <v>07</v>
      </c>
      <c r="K990" s="2" t="s">
        <v>101</v>
      </c>
      <c r="L990" s="23" t="str">
        <f>VLOOKUP(Tabla3[[#This Row],[PROVEEDOR]],'SAPROV (2)'!A:B,2,FALSE)</f>
        <v>36</v>
      </c>
      <c r="M990" t="str">
        <f>VLOOKUP(Tabla3[[#This Row],[SERVICIO]],'SAPROV (2)'!I:J,2,FALSE)</f>
        <v>SERV0011</v>
      </c>
      <c r="N990" t="s">
        <v>927</v>
      </c>
      <c r="P990">
        <f>VLOOKUP(Tabla3[[#This Row],[FECHA]],TASA[],2,FALSE)</f>
        <v>367.31</v>
      </c>
      <c r="Q990" s="4">
        <f t="shared" si="107"/>
        <v>-39.366202934850669</v>
      </c>
      <c r="R990" t="s">
        <v>1465</v>
      </c>
    </row>
    <row r="991" spans="1:18" x14ac:dyDescent="0.25">
      <c r="A991" s="33">
        <v>46052</v>
      </c>
      <c r="B991" s="1">
        <v>186979</v>
      </c>
      <c r="C991" s="2" t="s">
        <v>1326</v>
      </c>
      <c r="D991" s="34">
        <v>-43.38</v>
      </c>
      <c r="E991" t="s">
        <v>20</v>
      </c>
      <c r="F991" s="2" t="e">
        <f>VLOOKUP(Tabla3[[#This Row],[CONTABLE]],'SAPROV (2)'!L:M,2,FALSE)</f>
        <v>#N/A</v>
      </c>
      <c r="H991" t="s">
        <v>588</v>
      </c>
      <c r="I991" s="2" t="str">
        <f>VLOOKUP(Tabla3[[#This Row],[Deposito]],'SAPROV (2)'!D:E,2,FALSE)</f>
        <v>A01</v>
      </c>
      <c r="K991" s="23" t="s">
        <v>23</v>
      </c>
      <c r="L991" s="2" t="str">
        <f>VLOOKUP(Tabla3[[#This Row],[PROVEEDOR]],'SAPROV (2)'!A:B,2,FALSE)</f>
        <v>04</v>
      </c>
      <c r="M991" t="str">
        <f>VLOOKUP(Tabla3[[#This Row],[SERVICIO]],'SAPROV (2)'!I:J,2,FALSE)</f>
        <v>SERV0060</v>
      </c>
      <c r="N991" t="s">
        <v>611</v>
      </c>
      <c r="P991">
        <f>VLOOKUP(Tabla3[[#This Row],[FECHA]],TASA[],2,FALSE)</f>
        <v>367.31</v>
      </c>
      <c r="Q991" s="4">
        <f t="shared" si="107"/>
        <v>-0.11810187579973321</v>
      </c>
      <c r="R991" t="s">
        <v>1465</v>
      </c>
    </row>
    <row r="992" spans="1:18" x14ac:dyDescent="0.25">
      <c r="A992" s="33">
        <v>46052</v>
      </c>
      <c r="B992" s="1">
        <v>186980</v>
      </c>
      <c r="C992" s="2" t="s">
        <v>1412</v>
      </c>
      <c r="D992" s="34">
        <v>-14459.6</v>
      </c>
      <c r="E992" t="s">
        <v>20</v>
      </c>
      <c r="F992" s="2" t="e">
        <f>VLOOKUP(Tabla3[[#This Row],[CONTABLE]],'SAPROV (2)'!L:M,2,FALSE)</f>
        <v>#N/A</v>
      </c>
      <c r="H992" t="s">
        <v>1281</v>
      </c>
      <c r="I992" s="2" t="str">
        <f>VLOOKUP(Tabla3[[#This Row],[Deposito]],'SAPROV (2)'!D:E,2,FALSE)</f>
        <v>07</v>
      </c>
      <c r="K992" s="2" t="s">
        <v>101</v>
      </c>
      <c r="L992" s="23" t="str">
        <f>VLOOKUP(Tabla3[[#This Row],[PROVEEDOR]],'SAPROV (2)'!A:B,2,FALSE)</f>
        <v>36</v>
      </c>
      <c r="M992" t="str">
        <f>VLOOKUP(Tabla3[[#This Row],[SERVICIO]],'SAPROV (2)'!I:J,2,FALSE)</f>
        <v>SERV0011</v>
      </c>
      <c r="N992" t="s">
        <v>927</v>
      </c>
      <c r="P992">
        <f>VLOOKUP(Tabla3[[#This Row],[FECHA]],TASA[],2,FALSE)</f>
        <v>367.31</v>
      </c>
      <c r="Q992" s="4">
        <f t="shared" si="107"/>
        <v>-39.366202934850669</v>
      </c>
      <c r="R992" t="s">
        <v>1465</v>
      </c>
    </row>
    <row r="993" spans="1:18" x14ac:dyDescent="0.25">
      <c r="A993" s="33">
        <v>46052</v>
      </c>
      <c r="B993" s="1">
        <v>186980</v>
      </c>
      <c r="C993" s="2" t="s">
        <v>1328</v>
      </c>
      <c r="D993" s="34">
        <v>-43.38</v>
      </c>
      <c r="E993" t="s">
        <v>20</v>
      </c>
      <c r="F993" s="2" t="e">
        <f>VLOOKUP(Tabla3[[#This Row],[CONTABLE]],'SAPROV (2)'!L:M,2,FALSE)</f>
        <v>#N/A</v>
      </c>
      <c r="H993" t="s">
        <v>588</v>
      </c>
      <c r="I993" s="2" t="str">
        <f>VLOOKUP(Tabla3[[#This Row],[Deposito]],'SAPROV (2)'!D:E,2,FALSE)</f>
        <v>A01</v>
      </c>
      <c r="K993" s="23" t="s">
        <v>23</v>
      </c>
      <c r="L993" s="23" t="str">
        <f>VLOOKUP(Tabla3[[#This Row],[PROVEEDOR]],'SAPROV (2)'!A:B,2,FALSE)</f>
        <v>04</v>
      </c>
      <c r="M993" t="str">
        <f>VLOOKUP(Tabla3[[#This Row],[SERVICIO]],'SAPROV (2)'!I:J,2,FALSE)</f>
        <v>SERV0060</v>
      </c>
      <c r="N993" t="s">
        <v>611</v>
      </c>
      <c r="P993">
        <f>VLOOKUP(Tabla3[[#This Row],[FECHA]],TASA[],2,FALSE)</f>
        <v>367.31</v>
      </c>
      <c r="Q993" s="4">
        <f t="shared" si="107"/>
        <v>-0.11810187579973321</v>
      </c>
      <c r="R993" t="s">
        <v>1465</v>
      </c>
    </row>
    <row r="994" spans="1:18" x14ac:dyDescent="0.25">
      <c r="A994" s="33">
        <v>46052</v>
      </c>
      <c r="B994" s="1">
        <v>186990</v>
      </c>
      <c r="C994" s="2" t="s">
        <v>1412</v>
      </c>
      <c r="D994" s="34">
        <v>-14459.6</v>
      </c>
      <c r="E994" t="s">
        <v>20</v>
      </c>
      <c r="F994" s="2" t="e">
        <f>VLOOKUP(Tabla3[[#This Row],[CONTABLE]],'SAPROV (2)'!L:M,2,FALSE)</f>
        <v>#N/A</v>
      </c>
      <c r="H994" t="s">
        <v>1281</v>
      </c>
      <c r="I994" s="2" t="str">
        <f>VLOOKUP(Tabla3[[#This Row],[Deposito]],'SAPROV (2)'!D:E,2,FALSE)</f>
        <v>07</v>
      </c>
      <c r="K994" s="2" t="s">
        <v>101</v>
      </c>
      <c r="L994" s="2" t="str">
        <f>VLOOKUP(Tabla3[[#This Row],[PROVEEDOR]],'SAPROV (2)'!A:B,2,FALSE)</f>
        <v>36</v>
      </c>
      <c r="M994" t="str">
        <f>VLOOKUP(Tabla3[[#This Row],[SERVICIO]],'SAPROV (2)'!I:J,2,FALSE)</f>
        <v>SERV0011</v>
      </c>
      <c r="N994" t="s">
        <v>927</v>
      </c>
      <c r="P994">
        <f>VLOOKUP(Tabla3[[#This Row],[FECHA]],TASA[],2,FALSE)</f>
        <v>367.31</v>
      </c>
      <c r="Q994" s="4">
        <f t="shared" si="107"/>
        <v>-39.366202934850669</v>
      </c>
      <c r="R994" t="s">
        <v>1465</v>
      </c>
    </row>
    <row r="995" spans="1:18" x14ac:dyDescent="0.25">
      <c r="A995" s="33">
        <v>46052</v>
      </c>
      <c r="B995" s="1">
        <v>186990</v>
      </c>
      <c r="C995" s="2" t="s">
        <v>1330</v>
      </c>
      <c r="D995" s="34">
        <v>-43.38</v>
      </c>
      <c r="E995" t="s">
        <v>20</v>
      </c>
      <c r="F995" s="2" t="e">
        <f>VLOOKUP(Tabla3[[#This Row],[CONTABLE]],'SAPROV (2)'!L:M,2,FALSE)</f>
        <v>#N/A</v>
      </c>
      <c r="H995" t="s">
        <v>588</v>
      </c>
      <c r="I995" s="2" t="str">
        <f>VLOOKUP(Tabla3[[#This Row],[Deposito]],'SAPROV (2)'!D:E,2,FALSE)</f>
        <v>A01</v>
      </c>
      <c r="K995" s="23" t="s">
        <v>23</v>
      </c>
      <c r="L995" s="23" t="str">
        <f>VLOOKUP(Tabla3[[#This Row],[PROVEEDOR]],'SAPROV (2)'!A:B,2,FALSE)</f>
        <v>04</v>
      </c>
      <c r="M995" t="str">
        <f>VLOOKUP(Tabla3[[#This Row],[SERVICIO]],'SAPROV (2)'!I:J,2,FALSE)</f>
        <v>SERV0060</v>
      </c>
      <c r="N995" t="s">
        <v>611</v>
      </c>
      <c r="P995">
        <f>VLOOKUP(Tabla3[[#This Row],[FECHA]],TASA[],2,FALSE)</f>
        <v>367.31</v>
      </c>
      <c r="Q995" s="4">
        <f t="shared" si="107"/>
        <v>-0.11810187579973321</v>
      </c>
      <c r="R995" t="s">
        <v>1465</v>
      </c>
    </row>
    <row r="996" spans="1:18" x14ac:dyDescent="0.25">
      <c r="A996" s="33">
        <v>46052</v>
      </c>
      <c r="B996" s="1">
        <v>186995</v>
      </c>
      <c r="C996" s="2" t="s">
        <v>1412</v>
      </c>
      <c r="D996" s="34">
        <v>-14459.6</v>
      </c>
      <c r="E996" t="s">
        <v>20</v>
      </c>
      <c r="F996" s="2" t="e">
        <f>VLOOKUP(Tabla3[[#This Row],[CONTABLE]],'SAPROV (2)'!L:M,2,FALSE)</f>
        <v>#N/A</v>
      </c>
      <c r="H996" t="s">
        <v>1281</v>
      </c>
      <c r="I996" s="2" t="str">
        <f>VLOOKUP(Tabla3[[#This Row],[Deposito]],'SAPROV (2)'!D:E,2,FALSE)</f>
        <v>07</v>
      </c>
      <c r="K996" s="2" t="s">
        <v>101</v>
      </c>
      <c r="L996" s="23" t="str">
        <f>VLOOKUP(Tabla3[[#This Row],[PROVEEDOR]],'SAPROV (2)'!A:B,2,FALSE)</f>
        <v>36</v>
      </c>
      <c r="M996" t="str">
        <f>VLOOKUP(Tabla3[[#This Row],[SERVICIO]],'SAPROV (2)'!I:J,2,FALSE)</f>
        <v>SERV0011</v>
      </c>
      <c r="N996" t="s">
        <v>927</v>
      </c>
      <c r="P996">
        <f>VLOOKUP(Tabla3[[#This Row],[FECHA]],TASA[],2,FALSE)</f>
        <v>367.31</v>
      </c>
      <c r="Q996" s="4">
        <f t="shared" si="107"/>
        <v>-39.366202934850669</v>
      </c>
      <c r="R996" t="s">
        <v>1465</v>
      </c>
    </row>
    <row r="997" spans="1:18" x14ac:dyDescent="0.25">
      <c r="A997" s="33">
        <v>46052</v>
      </c>
      <c r="B997" s="1">
        <v>186995</v>
      </c>
      <c r="C997" s="2" t="s">
        <v>1332</v>
      </c>
      <c r="D997" s="34">
        <v>-43.38</v>
      </c>
      <c r="E997" t="s">
        <v>20</v>
      </c>
      <c r="F997" s="2" t="e">
        <f>VLOOKUP(Tabla3[[#This Row],[CONTABLE]],'SAPROV (2)'!L:M,2,FALSE)</f>
        <v>#N/A</v>
      </c>
      <c r="H997" t="s">
        <v>588</v>
      </c>
      <c r="I997" s="2" t="str">
        <f>VLOOKUP(Tabla3[[#This Row],[Deposito]],'SAPROV (2)'!D:E,2,FALSE)</f>
        <v>A01</v>
      </c>
      <c r="K997" s="23" t="s">
        <v>23</v>
      </c>
      <c r="L997" s="2" t="str">
        <f>VLOOKUP(Tabla3[[#This Row],[PROVEEDOR]],'SAPROV (2)'!A:B,2,FALSE)</f>
        <v>04</v>
      </c>
      <c r="M997" t="str">
        <f>VLOOKUP(Tabla3[[#This Row],[SERVICIO]],'SAPROV (2)'!I:J,2,FALSE)</f>
        <v>SERV0060</v>
      </c>
      <c r="N997" t="s">
        <v>611</v>
      </c>
      <c r="P997">
        <f>VLOOKUP(Tabla3[[#This Row],[FECHA]],TASA[],2,FALSE)</f>
        <v>367.31</v>
      </c>
      <c r="Q997" s="4">
        <f t="shared" si="107"/>
        <v>-0.11810187579973321</v>
      </c>
      <c r="R997" t="s">
        <v>1465</v>
      </c>
    </row>
    <row r="998" spans="1:18" x14ac:dyDescent="0.25">
      <c r="A998" s="33">
        <v>46052</v>
      </c>
      <c r="B998" s="1">
        <v>186999</v>
      </c>
      <c r="C998" s="2" t="s">
        <v>1412</v>
      </c>
      <c r="D998" s="34">
        <v>-14459.6</v>
      </c>
      <c r="E998" t="s">
        <v>20</v>
      </c>
      <c r="F998" s="2" t="e">
        <f>VLOOKUP(Tabla3[[#This Row],[CONTABLE]],'SAPROV (2)'!L:M,2,FALSE)</f>
        <v>#N/A</v>
      </c>
      <c r="H998" t="s">
        <v>1281</v>
      </c>
      <c r="I998" s="2" t="str">
        <f>VLOOKUP(Tabla3[[#This Row],[Deposito]],'SAPROV (2)'!D:E,2,FALSE)</f>
        <v>07</v>
      </c>
      <c r="K998" s="2" t="s">
        <v>101</v>
      </c>
      <c r="L998" s="23" t="str">
        <f>VLOOKUP(Tabla3[[#This Row],[PROVEEDOR]],'SAPROV (2)'!A:B,2,FALSE)</f>
        <v>36</v>
      </c>
      <c r="M998" t="str">
        <f>VLOOKUP(Tabla3[[#This Row],[SERVICIO]],'SAPROV (2)'!I:J,2,FALSE)</f>
        <v>SERV0011</v>
      </c>
      <c r="N998" t="s">
        <v>927</v>
      </c>
      <c r="P998">
        <f>VLOOKUP(Tabla3[[#This Row],[FECHA]],TASA[],2,FALSE)</f>
        <v>367.31</v>
      </c>
      <c r="Q998" s="4">
        <f t="shared" si="107"/>
        <v>-39.366202934850669</v>
      </c>
      <c r="R998" t="s">
        <v>1465</v>
      </c>
    </row>
    <row r="999" spans="1:18" x14ac:dyDescent="0.25">
      <c r="A999" s="33">
        <v>46052</v>
      </c>
      <c r="B999" s="1">
        <v>186999</v>
      </c>
      <c r="C999" s="2" t="s">
        <v>1334</v>
      </c>
      <c r="D999" s="34">
        <v>-43.38</v>
      </c>
      <c r="E999" t="s">
        <v>20</v>
      </c>
      <c r="F999" s="2" t="e">
        <f>VLOOKUP(Tabla3[[#This Row],[CONTABLE]],'SAPROV (2)'!L:M,2,FALSE)</f>
        <v>#N/A</v>
      </c>
      <c r="H999" t="s">
        <v>588</v>
      </c>
      <c r="I999" s="2" t="str">
        <f>VLOOKUP(Tabla3[[#This Row],[Deposito]],'SAPROV (2)'!D:E,2,FALSE)</f>
        <v>A01</v>
      </c>
      <c r="K999" s="23" t="s">
        <v>23</v>
      </c>
      <c r="L999" s="23" t="str">
        <f>VLOOKUP(Tabla3[[#This Row],[PROVEEDOR]],'SAPROV (2)'!A:B,2,FALSE)</f>
        <v>04</v>
      </c>
      <c r="M999" t="str">
        <f>VLOOKUP(Tabla3[[#This Row],[SERVICIO]],'SAPROV (2)'!I:J,2,FALSE)</f>
        <v>SERV0060</v>
      </c>
      <c r="N999" t="s">
        <v>611</v>
      </c>
      <c r="P999">
        <f>VLOOKUP(Tabla3[[#This Row],[FECHA]],TASA[],2,FALSE)</f>
        <v>367.31</v>
      </c>
      <c r="Q999" s="4">
        <f t="shared" si="107"/>
        <v>-0.11810187579973321</v>
      </c>
      <c r="R999" t="s">
        <v>1465</v>
      </c>
    </row>
    <row r="1000" spans="1:18" x14ac:dyDescent="0.25">
      <c r="A1000" s="33">
        <v>46052</v>
      </c>
      <c r="B1000" s="1">
        <v>187006</v>
      </c>
      <c r="C1000" s="2" t="s">
        <v>1412</v>
      </c>
      <c r="D1000" s="34">
        <v>-14459.6</v>
      </c>
      <c r="E1000" t="s">
        <v>20</v>
      </c>
      <c r="F1000" s="2" t="e">
        <f>VLOOKUP(Tabla3[[#This Row],[CONTABLE]],'SAPROV (2)'!L:M,2,FALSE)</f>
        <v>#N/A</v>
      </c>
      <c r="H1000" t="s">
        <v>1281</v>
      </c>
      <c r="I1000" s="2" t="str">
        <f>VLOOKUP(Tabla3[[#This Row],[Deposito]],'SAPROV (2)'!D:E,2,FALSE)</f>
        <v>07</v>
      </c>
      <c r="K1000" s="2" t="s">
        <v>101</v>
      </c>
      <c r="L1000" s="2" t="str">
        <f>VLOOKUP(Tabla3[[#This Row],[PROVEEDOR]],'SAPROV (2)'!A:B,2,FALSE)</f>
        <v>36</v>
      </c>
      <c r="M1000" t="str">
        <f>VLOOKUP(Tabla3[[#This Row],[SERVICIO]],'SAPROV (2)'!I:J,2,FALSE)</f>
        <v>SERV0011</v>
      </c>
      <c r="N1000" t="s">
        <v>927</v>
      </c>
      <c r="P1000">
        <f>VLOOKUP(Tabla3[[#This Row],[FECHA]],TASA[],2,FALSE)</f>
        <v>367.31</v>
      </c>
      <c r="Q1000" s="4">
        <f t="shared" si="107"/>
        <v>-39.366202934850669</v>
      </c>
      <c r="R1000" t="s">
        <v>1465</v>
      </c>
    </row>
    <row r="1001" spans="1:18" x14ac:dyDescent="0.25">
      <c r="A1001" s="33">
        <v>46052</v>
      </c>
      <c r="B1001" s="1">
        <v>187006</v>
      </c>
      <c r="C1001" s="2" t="s">
        <v>1336</v>
      </c>
      <c r="D1001" s="34">
        <v>-43.38</v>
      </c>
      <c r="E1001" t="s">
        <v>20</v>
      </c>
      <c r="F1001" s="2" t="e">
        <f>VLOOKUP(Tabla3[[#This Row],[CONTABLE]],'SAPROV (2)'!L:M,2,FALSE)</f>
        <v>#N/A</v>
      </c>
      <c r="H1001" t="s">
        <v>588</v>
      </c>
      <c r="I1001" s="2" t="str">
        <f>VLOOKUP(Tabla3[[#This Row],[Deposito]],'SAPROV (2)'!D:E,2,FALSE)</f>
        <v>A01</v>
      </c>
      <c r="K1001" s="23" t="s">
        <v>23</v>
      </c>
      <c r="L1001" s="23" t="str">
        <f>VLOOKUP(Tabla3[[#This Row],[PROVEEDOR]],'SAPROV (2)'!A:B,2,FALSE)</f>
        <v>04</v>
      </c>
      <c r="M1001" t="str">
        <f>VLOOKUP(Tabla3[[#This Row],[SERVICIO]],'SAPROV (2)'!I:J,2,FALSE)</f>
        <v>SERV0060</v>
      </c>
      <c r="N1001" t="s">
        <v>611</v>
      </c>
      <c r="P1001">
        <f>VLOOKUP(Tabla3[[#This Row],[FECHA]],TASA[],2,FALSE)</f>
        <v>367.31</v>
      </c>
      <c r="Q1001" s="4">
        <f t="shared" si="107"/>
        <v>-0.11810187579973321</v>
      </c>
      <c r="R1001" t="s">
        <v>1465</v>
      </c>
    </row>
    <row r="1002" spans="1:18" x14ac:dyDescent="0.25">
      <c r="A1002" s="33">
        <v>46052</v>
      </c>
      <c r="B1002" s="1">
        <v>187010</v>
      </c>
      <c r="C1002" s="2" t="s">
        <v>1412</v>
      </c>
      <c r="D1002" s="34">
        <v>-14459.6</v>
      </c>
      <c r="E1002" t="s">
        <v>20</v>
      </c>
      <c r="F1002" s="2" t="e">
        <f>VLOOKUP(Tabla3[[#This Row],[CONTABLE]],'SAPROV (2)'!L:M,2,FALSE)</f>
        <v>#N/A</v>
      </c>
      <c r="H1002" t="s">
        <v>1281</v>
      </c>
      <c r="I1002" s="2" t="str">
        <f>VLOOKUP(Tabla3[[#This Row],[Deposito]],'SAPROV (2)'!D:E,2,FALSE)</f>
        <v>07</v>
      </c>
      <c r="K1002" s="2" t="s">
        <v>101</v>
      </c>
      <c r="L1002" s="23" t="str">
        <f>VLOOKUP(Tabla3[[#This Row],[PROVEEDOR]],'SAPROV (2)'!A:B,2,FALSE)</f>
        <v>36</v>
      </c>
      <c r="M1002" t="str">
        <f>VLOOKUP(Tabla3[[#This Row],[SERVICIO]],'SAPROV (2)'!I:J,2,FALSE)</f>
        <v>SERV0011</v>
      </c>
      <c r="N1002" t="s">
        <v>927</v>
      </c>
      <c r="P1002">
        <f>VLOOKUP(Tabla3[[#This Row],[FECHA]],TASA[],2,FALSE)</f>
        <v>367.31</v>
      </c>
      <c r="Q1002" s="4">
        <f t="shared" si="107"/>
        <v>-39.366202934850669</v>
      </c>
      <c r="R1002" t="s">
        <v>1465</v>
      </c>
    </row>
    <row r="1003" spans="1:18" x14ac:dyDescent="0.25">
      <c r="A1003" s="33">
        <v>46052</v>
      </c>
      <c r="B1003" s="1">
        <v>187010</v>
      </c>
      <c r="C1003" s="2" t="s">
        <v>1338</v>
      </c>
      <c r="D1003" s="34">
        <v>-43.38</v>
      </c>
      <c r="E1003" t="s">
        <v>20</v>
      </c>
      <c r="F1003" s="2" t="e">
        <f>VLOOKUP(Tabla3[[#This Row],[CONTABLE]],'SAPROV (2)'!L:M,2,FALSE)</f>
        <v>#N/A</v>
      </c>
      <c r="H1003" t="s">
        <v>588</v>
      </c>
      <c r="I1003" s="2" t="str">
        <f>VLOOKUP(Tabla3[[#This Row],[Deposito]],'SAPROV (2)'!D:E,2,FALSE)</f>
        <v>A01</v>
      </c>
      <c r="K1003" s="23" t="s">
        <v>23</v>
      </c>
      <c r="L1003" s="2" t="str">
        <f>VLOOKUP(Tabla3[[#This Row],[PROVEEDOR]],'SAPROV (2)'!A:B,2,FALSE)</f>
        <v>04</v>
      </c>
      <c r="M1003" t="str">
        <f>VLOOKUP(Tabla3[[#This Row],[SERVICIO]],'SAPROV (2)'!I:J,2,FALSE)</f>
        <v>SERV0060</v>
      </c>
      <c r="N1003" t="s">
        <v>611</v>
      </c>
      <c r="P1003">
        <f>VLOOKUP(Tabla3[[#This Row],[FECHA]],TASA[],2,FALSE)</f>
        <v>367.31</v>
      </c>
      <c r="Q1003" s="4">
        <f t="shared" si="107"/>
        <v>-0.11810187579973321</v>
      </c>
      <c r="R1003" t="s">
        <v>1465</v>
      </c>
    </row>
    <row r="1004" spans="1:18" x14ac:dyDescent="0.25">
      <c r="A1004" s="33">
        <v>46052</v>
      </c>
      <c r="B1004" s="1">
        <v>187013</v>
      </c>
      <c r="C1004" s="2" t="s">
        <v>1412</v>
      </c>
      <c r="D1004" s="34">
        <v>-14459.6</v>
      </c>
      <c r="E1004" t="s">
        <v>20</v>
      </c>
      <c r="F1004" s="2" t="e">
        <f>VLOOKUP(Tabla3[[#This Row],[CONTABLE]],'SAPROV (2)'!L:M,2,FALSE)</f>
        <v>#N/A</v>
      </c>
      <c r="H1004" t="s">
        <v>1281</v>
      </c>
      <c r="I1004" s="2" t="str">
        <f>VLOOKUP(Tabla3[[#This Row],[Deposito]],'SAPROV (2)'!D:E,2,FALSE)</f>
        <v>07</v>
      </c>
      <c r="K1004" s="2" t="s">
        <v>101</v>
      </c>
      <c r="L1004" s="23" t="str">
        <f>VLOOKUP(Tabla3[[#This Row],[PROVEEDOR]],'SAPROV (2)'!A:B,2,FALSE)</f>
        <v>36</v>
      </c>
      <c r="M1004" t="str">
        <f>VLOOKUP(Tabla3[[#This Row],[SERVICIO]],'SAPROV (2)'!I:J,2,FALSE)</f>
        <v>SERV0011</v>
      </c>
      <c r="N1004" t="s">
        <v>927</v>
      </c>
      <c r="P1004">
        <f>VLOOKUP(Tabla3[[#This Row],[FECHA]],TASA[],2,FALSE)</f>
        <v>367.31</v>
      </c>
      <c r="Q1004" s="4">
        <f t="shared" si="107"/>
        <v>-39.366202934850669</v>
      </c>
      <c r="R1004" t="s">
        <v>1465</v>
      </c>
    </row>
    <row r="1005" spans="1:18" x14ac:dyDescent="0.25">
      <c r="A1005" s="33">
        <v>46052</v>
      </c>
      <c r="B1005" s="1">
        <v>187013</v>
      </c>
      <c r="C1005" s="2" t="s">
        <v>1340</v>
      </c>
      <c r="D1005" s="34">
        <v>-43.38</v>
      </c>
      <c r="E1005" t="s">
        <v>20</v>
      </c>
      <c r="F1005" s="2" t="e">
        <f>VLOOKUP(Tabla3[[#This Row],[CONTABLE]],'SAPROV (2)'!L:M,2,FALSE)</f>
        <v>#N/A</v>
      </c>
      <c r="H1005" t="s">
        <v>588</v>
      </c>
      <c r="I1005" s="2" t="str">
        <f>VLOOKUP(Tabla3[[#This Row],[Deposito]],'SAPROV (2)'!D:E,2,FALSE)</f>
        <v>A01</v>
      </c>
      <c r="K1005" s="23" t="s">
        <v>23</v>
      </c>
      <c r="L1005" s="23" t="str">
        <f>VLOOKUP(Tabla3[[#This Row],[PROVEEDOR]],'SAPROV (2)'!A:B,2,FALSE)</f>
        <v>04</v>
      </c>
      <c r="M1005" t="str">
        <f>VLOOKUP(Tabla3[[#This Row],[SERVICIO]],'SAPROV (2)'!I:J,2,FALSE)</f>
        <v>SERV0060</v>
      </c>
      <c r="N1005" t="s">
        <v>611</v>
      </c>
      <c r="P1005">
        <f>VLOOKUP(Tabla3[[#This Row],[FECHA]],TASA[],2,FALSE)</f>
        <v>367.31</v>
      </c>
      <c r="Q1005" s="4">
        <f t="shared" si="107"/>
        <v>-0.11810187579973321</v>
      </c>
      <c r="R1005" t="s">
        <v>1465</v>
      </c>
    </row>
    <row r="1006" spans="1:18" x14ac:dyDescent="0.25">
      <c r="A1006" s="33">
        <v>46052</v>
      </c>
      <c r="B1006" s="1">
        <v>187022</v>
      </c>
      <c r="C1006" s="2" t="s">
        <v>1412</v>
      </c>
      <c r="D1006" s="34">
        <v>-13978.82</v>
      </c>
      <c r="E1006" t="s">
        <v>20</v>
      </c>
      <c r="F1006" s="2" t="e">
        <f>VLOOKUP(Tabla3[[#This Row],[CONTABLE]],'SAPROV (2)'!L:M,2,FALSE)</f>
        <v>#N/A</v>
      </c>
      <c r="H1006" t="s">
        <v>1281</v>
      </c>
      <c r="I1006" s="2" t="str">
        <f>VLOOKUP(Tabla3[[#This Row],[Deposito]],'SAPROV (2)'!D:E,2,FALSE)</f>
        <v>07</v>
      </c>
      <c r="K1006" s="2" t="s">
        <v>101</v>
      </c>
      <c r="L1006" s="2" t="str">
        <f>VLOOKUP(Tabla3[[#This Row],[PROVEEDOR]],'SAPROV (2)'!A:B,2,FALSE)</f>
        <v>36</v>
      </c>
      <c r="M1006" t="str">
        <f>VLOOKUP(Tabla3[[#This Row],[SERVICIO]],'SAPROV (2)'!I:J,2,FALSE)</f>
        <v>SERV0011</v>
      </c>
      <c r="N1006" t="s">
        <v>927</v>
      </c>
      <c r="P1006">
        <f>VLOOKUP(Tabla3[[#This Row],[FECHA]],TASA[],2,FALSE)</f>
        <v>367.31</v>
      </c>
      <c r="Q1006" s="4">
        <f t="shared" si="107"/>
        <v>-38.05728131551006</v>
      </c>
      <c r="R1006" t="s">
        <v>1465</v>
      </c>
    </row>
    <row r="1007" spans="1:18" x14ac:dyDescent="0.25">
      <c r="A1007" s="33">
        <v>46052</v>
      </c>
      <c r="B1007" s="1">
        <v>187022</v>
      </c>
      <c r="C1007" s="2" t="s">
        <v>1342</v>
      </c>
      <c r="D1007" s="34">
        <v>-41.94</v>
      </c>
      <c r="E1007" t="s">
        <v>20</v>
      </c>
      <c r="F1007" s="2" t="e">
        <f>VLOOKUP(Tabla3[[#This Row],[CONTABLE]],'SAPROV (2)'!L:M,2,FALSE)</f>
        <v>#N/A</v>
      </c>
      <c r="H1007" t="s">
        <v>588</v>
      </c>
      <c r="I1007" s="2" t="str">
        <f>VLOOKUP(Tabla3[[#This Row],[Deposito]],'SAPROV (2)'!D:E,2,FALSE)</f>
        <v>A01</v>
      </c>
      <c r="K1007" s="23" t="s">
        <v>23</v>
      </c>
      <c r="L1007" s="23" t="str">
        <f>VLOOKUP(Tabla3[[#This Row],[PROVEEDOR]],'SAPROV (2)'!A:B,2,FALSE)</f>
        <v>04</v>
      </c>
      <c r="M1007" t="str">
        <f>VLOOKUP(Tabla3[[#This Row],[SERVICIO]],'SAPROV (2)'!I:J,2,FALSE)</f>
        <v>SERV0060</v>
      </c>
      <c r="N1007" t="s">
        <v>611</v>
      </c>
      <c r="P1007">
        <f>VLOOKUP(Tabla3[[#This Row],[FECHA]],TASA[],2,FALSE)</f>
        <v>367.31</v>
      </c>
      <c r="Q1007" s="4">
        <f t="shared" si="107"/>
        <v>-0.11418148158231466</v>
      </c>
      <c r="R1007" t="s">
        <v>1465</v>
      </c>
    </row>
    <row r="1008" spans="1:18" x14ac:dyDescent="0.25">
      <c r="A1008" s="33">
        <v>46052</v>
      </c>
      <c r="B1008" s="1">
        <v>187024</v>
      </c>
      <c r="C1008" s="2" t="s">
        <v>1412</v>
      </c>
      <c r="D1008" s="34">
        <v>-14459.6</v>
      </c>
      <c r="E1008" t="s">
        <v>20</v>
      </c>
      <c r="F1008" s="2" t="e">
        <f>VLOOKUP(Tabla3[[#This Row],[CONTABLE]],'SAPROV (2)'!L:M,2,FALSE)</f>
        <v>#N/A</v>
      </c>
      <c r="H1008" t="s">
        <v>1281</v>
      </c>
      <c r="I1008" s="2" t="str">
        <f>VLOOKUP(Tabla3[[#This Row],[Deposito]],'SAPROV (2)'!D:E,2,FALSE)</f>
        <v>07</v>
      </c>
      <c r="K1008" s="2" t="s">
        <v>101</v>
      </c>
      <c r="L1008" s="23" t="str">
        <f>VLOOKUP(Tabla3[[#This Row],[PROVEEDOR]],'SAPROV (2)'!A:B,2,FALSE)</f>
        <v>36</v>
      </c>
      <c r="M1008" t="str">
        <f>VLOOKUP(Tabla3[[#This Row],[SERVICIO]],'SAPROV (2)'!I:J,2,FALSE)</f>
        <v>SERV0011</v>
      </c>
      <c r="N1008" t="s">
        <v>927</v>
      </c>
      <c r="P1008">
        <f>VLOOKUP(Tabla3[[#This Row],[FECHA]],TASA[],2,FALSE)</f>
        <v>367.31</v>
      </c>
      <c r="Q1008" s="4">
        <f t="shared" si="107"/>
        <v>-39.366202934850669</v>
      </c>
      <c r="R1008" t="s">
        <v>1465</v>
      </c>
    </row>
    <row r="1009" spans="1:18" x14ac:dyDescent="0.25">
      <c r="A1009" s="33">
        <v>46052</v>
      </c>
      <c r="B1009" s="1">
        <v>187024</v>
      </c>
      <c r="C1009" s="2" t="s">
        <v>1343</v>
      </c>
      <c r="D1009" s="34">
        <v>-43.38</v>
      </c>
      <c r="E1009" t="s">
        <v>20</v>
      </c>
      <c r="F1009" s="2" t="e">
        <f>VLOOKUP(Tabla3[[#This Row],[CONTABLE]],'SAPROV (2)'!L:M,2,FALSE)</f>
        <v>#N/A</v>
      </c>
      <c r="H1009" t="s">
        <v>588</v>
      </c>
      <c r="I1009" s="2" t="str">
        <f>VLOOKUP(Tabla3[[#This Row],[Deposito]],'SAPROV (2)'!D:E,2,FALSE)</f>
        <v>A01</v>
      </c>
      <c r="K1009" s="23" t="s">
        <v>23</v>
      </c>
      <c r="L1009" s="2" t="str">
        <f>VLOOKUP(Tabla3[[#This Row],[PROVEEDOR]],'SAPROV (2)'!A:B,2,FALSE)</f>
        <v>04</v>
      </c>
      <c r="M1009" t="str">
        <f>VLOOKUP(Tabla3[[#This Row],[SERVICIO]],'SAPROV (2)'!I:J,2,FALSE)</f>
        <v>SERV0060</v>
      </c>
      <c r="N1009" t="s">
        <v>611</v>
      </c>
      <c r="P1009">
        <f>VLOOKUP(Tabla3[[#This Row],[FECHA]],TASA[],2,FALSE)</f>
        <v>367.31</v>
      </c>
      <c r="Q1009" s="4">
        <f t="shared" si="107"/>
        <v>-0.11810187579973321</v>
      </c>
      <c r="R1009" t="s">
        <v>1465</v>
      </c>
    </row>
    <row r="1010" spans="1:18" x14ac:dyDescent="0.25">
      <c r="A1010" s="33">
        <v>46052</v>
      </c>
      <c r="B1010" s="1">
        <v>187030</v>
      </c>
      <c r="C1010" s="2" t="s">
        <v>1412</v>
      </c>
      <c r="D1010" s="34">
        <v>-14459.6</v>
      </c>
      <c r="E1010" t="s">
        <v>20</v>
      </c>
      <c r="F1010" s="2" t="e">
        <f>VLOOKUP(Tabla3[[#This Row],[CONTABLE]],'SAPROV (2)'!L:M,2,FALSE)</f>
        <v>#N/A</v>
      </c>
      <c r="H1010" t="s">
        <v>1281</v>
      </c>
      <c r="I1010" s="2" t="str">
        <f>VLOOKUP(Tabla3[[#This Row],[Deposito]],'SAPROV (2)'!D:E,2,FALSE)</f>
        <v>07</v>
      </c>
      <c r="K1010" s="2" t="s">
        <v>101</v>
      </c>
      <c r="L1010" s="23" t="str">
        <f>VLOOKUP(Tabla3[[#This Row],[PROVEEDOR]],'SAPROV (2)'!A:B,2,FALSE)</f>
        <v>36</v>
      </c>
      <c r="M1010" t="str">
        <f>VLOOKUP(Tabla3[[#This Row],[SERVICIO]],'SAPROV (2)'!I:J,2,FALSE)</f>
        <v>SERV0011</v>
      </c>
      <c r="N1010" t="s">
        <v>927</v>
      </c>
      <c r="P1010">
        <f>VLOOKUP(Tabla3[[#This Row],[FECHA]],TASA[],2,FALSE)</f>
        <v>367.31</v>
      </c>
      <c r="Q1010" s="4">
        <f t="shared" si="107"/>
        <v>-39.366202934850669</v>
      </c>
      <c r="R1010" t="s">
        <v>1465</v>
      </c>
    </row>
    <row r="1011" spans="1:18" x14ac:dyDescent="0.25">
      <c r="A1011" s="33">
        <v>46052</v>
      </c>
      <c r="B1011" s="1">
        <v>187030</v>
      </c>
      <c r="C1011" s="2" t="s">
        <v>1345</v>
      </c>
      <c r="D1011" s="34">
        <v>-43.38</v>
      </c>
      <c r="E1011" t="s">
        <v>20</v>
      </c>
      <c r="F1011" s="2" t="e">
        <f>VLOOKUP(Tabla3[[#This Row],[CONTABLE]],'SAPROV (2)'!L:M,2,FALSE)</f>
        <v>#N/A</v>
      </c>
      <c r="H1011" t="s">
        <v>588</v>
      </c>
      <c r="I1011" s="2" t="str">
        <f>VLOOKUP(Tabla3[[#This Row],[Deposito]],'SAPROV (2)'!D:E,2,FALSE)</f>
        <v>A01</v>
      </c>
      <c r="K1011" s="23" t="s">
        <v>23</v>
      </c>
      <c r="L1011" s="23" t="str">
        <f>VLOOKUP(Tabla3[[#This Row],[PROVEEDOR]],'SAPROV (2)'!A:B,2,FALSE)</f>
        <v>04</v>
      </c>
      <c r="M1011" t="str">
        <f>VLOOKUP(Tabla3[[#This Row],[SERVICIO]],'SAPROV (2)'!I:J,2,FALSE)</f>
        <v>SERV0060</v>
      </c>
      <c r="N1011" t="s">
        <v>611</v>
      </c>
      <c r="P1011">
        <f>VLOOKUP(Tabla3[[#This Row],[FECHA]],TASA[],2,FALSE)</f>
        <v>367.31</v>
      </c>
      <c r="Q1011" s="4">
        <f t="shared" si="107"/>
        <v>-0.11810187579973321</v>
      </c>
      <c r="R1011" t="s">
        <v>1465</v>
      </c>
    </row>
    <row r="1012" spans="1:18" x14ac:dyDescent="0.25">
      <c r="A1012" s="33">
        <v>46052</v>
      </c>
      <c r="B1012" s="1">
        <v>187035</v>
      </c>
      <c r="C1012" s="2" t="s">
        <v>1412</v>
      </c>
      <c r="D1012" s="34">
        <v>-14459.6</v>
      </c>
      <c r="E1012" t="s">
        <v>20</v>
      </c>
      <c r="F1012" s="2" t="e">
        <f>VLOOKUP(Tabla3[[#This Row],[CONTABLE]],'SAPROV (2)'!L:M,2,FALSE)</f>
        <v>#N/A</v>
      </c>
      <c r="H1012" t="s">
        <v>1281</v>
      </c>
      <c r="I1012" s="2" t="str">
        <f>VLOOKUP(Tabla3[[#This Row],[Deposito]],'SAPROV (2)'!D:E,2,FALSE)</f>
        <v>07</v>
      </c>
      <c r="K1012" s="2" t="s">
        <v>101</v>
      </c>
      <c r="L1012" s="2" t="str">
        <f>VLOOKUP(Tabla3[[#This Row],[PROVEEDOR]],'SAPROV (2)'!A:B,2,FALSE)</f>
        <v>36</v>
      </c>
      <c r="M1012" t="str">
        <f>VLOOKUP(Tabla3[[#This Row],[SERVICIO]],'SAPROV (2)'!I:J,2,FALSE)</f>
        <v>SERV0011</v>
      </c>
      <c r="N1012" t="s">
        <v>927</v>
      </c>
      <c r="P1012">
        <f>VLOOKUP(Tabla3[[#This Row],[FECHA]],TASA[],2,FALSE)</f>
        <v>367.31</v>
      </c>
      <c r="Q1012" s="4">
        <f t="shared" si="107"/>
        <v>-39.366202934850669</v>
      </c>
      <c r="R1012" t="s">
        <v>1465</v>
      </c>
    </row>
    <row r="1013" spans="1:18" x14ac:dyDescent="0.25">
      <c r="A1013" s="33">
        <v>46052</v>
      </c>
      <c r="B1013" s="1">
        <v>187035</v>
      </c>
      <c r="C1013" s="2" t="s">
        <v>1347</v>
      </c>
      <c r="D1013" s="34">
        <v>-43.38</v>
      </c>
      <c r="E1013" t="s">
        <v>20</v>
      </c>
      <c r="F1013" s="2" t="e">
        <f>VLOOKUP(Tabla3[[#This Row],[CONTABLE]],'SAPROV (2)'!L:M,2,FALSE)</f>
        <v>#N/A</v>
      </c>
      <c r="H1013" t="s">
        <v>588</v>
      </c>
      <c r="I1013" s="2" t="str">
        <f>VLOOKUP(Tabla3[[#This Row],[Deposito]],'SAPROV (2)'!D:E,2,FALSE)</f>
        <v>A01</v>
      </c>
      <c r="K1013" s="23" t="s">
        <v>23</v>
      </c>
      <c r="L1013" s="23" t="str">
        <f>VLOOKUP(Tabla3[[#This Row],[PROVEEDOR]],'SAPROV (2)'!A:B,2,FALSE)</f>
        <v>04</v>
      </c>
      <c r="M1013" t="str">
        <f>VLOOKUP(Tabla3[[#This Row],[SERVICIO]],'SAPROV (2)'!I:J,2,FALSE)</f>
        <v>SERV0060</v>
      </c>
      <c r="N1013" t="s">
        <v>611</v>
      </c>
      <c r="P1013">
        <f>VLOOKUP(Tabla3[[#This Row],[FECHA]],TASA[],2,FALSE)</f>
        <v>367.31</v>
      </c>
      <c r="Q1013" s="4">
        <f t="shared" si="107"/>
        <v>-0.11810187579973321</v>
      </c>
      <c r="R1013" t="s">
        <v>1465</v>
      </c>
    </row>
    <row r="1014" spans="1:18" x14ac:dyDescent="0.25">
      <c r="A1014" s="33">
        <v>46052</v>
      </c>
      <c r="B1014" s="1">
        <v>187039</v>
      </c>
      <c r="C1014" s="2" t="s">
        <v>1412</v>
      </c>
      <c r="D1014" s="34">
        <v>-14459.6</v>
      </c>
      <c r="E1014" t="s">
        <v>20</v>
      </c>
      <c r="F1014" s="2" t="e">
        <f>VLOOKUP(Tabla3[[#This Row],[CONTABLE]],'SAPROV (2)'!L:M,2,FALSE)</f>
        <v>#N/A</v>
      </c>
      <c r="H1014" t="s">
        <v>1281</v>
      </c>
      <c r="I1014" s="2" t="str">
        <f>VLOOKUP(Tabla3[[#This Row],[Deposito]],'SAPROV (2)'!D:E,2,FALSE)</f>
        <v>07</v>
      </c>
      <c r="K1014" s="2" t="s">
        <v>101</v>
      </c>
      <c r="L1014" s="23" t="str">
        <f>VLOOKUP(Tabla3[[#This Row],[PROVEEDOR]],'SAPROV (2)'!A:B,2,FALSE)</f>
        <v>36</v>
      </c>
      <c r="M1014" t="str">
        <f>VLOOKUP(Tabla3[[#This Row],[SERVICIO]],'SAPROV (2)'!I:J,2,FALSE)</f>
        <v>SERV0011</v>
      </c>
      <c r="N1014" t="s">
        <v>927</v>
      </c>
      <c r="P1014">
        <f>VLOOKUP(Tabla3[[#This Row],[FECHA]],TASA[],2,FALSE)</f>
        <v>367.31</v>
      </c>
      <c r="Q1014" s="4">
        <f t="shared" si="107"/>
        <v>-39.366202934850669</v>
      </c>
      <c r="R1014" t="s">
        <v>1465</v>
      </c>
    </row>
    <row r="1015" spans="1:18" x14ac:dyDescent="0.25">
      <c r="A1015" s="33">
        <v>46052</v>
      </c>
      <c r="B1015" s="1">
        <v>187039</v>
      </c>
      <c r="C1015" s="2" t="s">
        <v>1349</v>
      </c>
      <c r="D1015" s="34">
        <v>-43.38</v>
      </c>
      <c r="E1015" t="s">
        <v>20</v>
      </c>
      <c r="F1015" s="2" t="e">
        <f>VLOOKUP(Tabla3[[#This Row],[CONTABLE]],'SAPROV (2)'!L:M,2,FALSE)</f>
        <v>#N/A</v>
      </c>
      <c r="H1015" t="s">
        <v>588</v>
      </c>
      <c r="I1015" s="2" t="str">
        <f>VLOOKUP(Tabla3[[#This Row],[Deposito]],'SAPROV (2)'!D:E,2,FALSE)</f>
        <v>A01</v>
      </c>
      <c r="K1015" s="23" t="s">
        <v>23</v>
      </c>
      <c r="L1015" s="2" t="str">
        <f>VLOOKUP(Tabla3[[#This Row],[PROVEEDOR]],'SAPROV (2)'!A:B,2,FALSE)</f>
        <v>04</v>
      </c>
      <c r="M1015" t="str">
        <f>VLOOKUP(Tabla3[[#This Row],[SERVICIO]],'SAPROV (2)'!I:J,2,FALSE)</f>
        <v>SERV0060</v>
      </c>
      <c r="N1015" t="s">
        <v>611</v>
      </c>
      <c r="P1015">
        <f>VLOOKUP(Tabla3[[#This Row],[FECHA]],TASA[],2,FALSE)</f>
        <v>367.31</v>
      </c>
      <c r="Q1015" s="4">
        <f t="shared" si="107"/>
        <v>-0.11810187579973321</v>
      </c>
      <c r="R1015" t="s">
        <v>1465</v>
      </c>
    </row>
    <row r="1016" spans="1:18" x14ac:dyDescent="0.25">
      <c r="A1016" s="33">
        <v>46052</v>
      </c>
      <c r="B1016" s="1">
        <v>187043</v>
      </c>
      <c r="C1016" s="2" t="s">
        <v>1412</v>
      </c>
      <c r="D1016" s="34">
        <v>-14459.6</v>
      </c>
      <c r="E1016" t="s">
        <v>20</v>
      </c>
      <c r="F1016" s="2" t="e">
        <f>VLOOKUP(Tabla3[[#This Row],[CONTABLE]],'SAPROV (2)'!L:M,2,FALSE)</f>
        <v>#N/A</v>
      </c>
      <c r="H1016" t="s">
        <v>1281</v>
      </c>
      <c r="I1016" s="2" t="str">
        <f>VLOOKUP(Tabla3[[#This Row],[Deposito]],'SAPROV (2)'!D:E,2,FALSE)</f>
        <v>07</v>
      </c>
      <c r="K1016" s="2" t="s">
        <v>101</v>
      </c>
      <c r="L1016" s="23" t="str">
        <f>VLOOKUP(Tabla3[[#This Row],[PROVEEDOR]],'SAPROV (2)'!A:B,2,FALSE)</f>
        <v>36</v>
      </c>
      <c r="M1016" t="str">
        <f>VLOOKUP(Tabla3[[#This Row],[SERVICIO]],'SAPROV (2)'!I:J,2,FALSE)</f>
        <v>SERV0011</v>
      </c>
      <c r="N1016" t="s">
        <v>927</v>
      </c>
      <c r="P1016">
        <f>VLOOKUP(Tabla3[[#This Row],[FECHA]],TASA[],2,FALSE)</f>
        <v>367.31</v>
      </c>
      <c r="Q1016" s="4">
        <f t="shared" si="107"/>
        <v>-39.366202934850669</v>
      </c>
      <c r="R1016" t="s">
        <v>1465</v>
      </c>
    </row>
    <row r="1017" spans="1:18" x14ac:dyDescent="0.25">
      <c r="A1017" s="33">
        <v>46052</v>
      </c>
      <c r="B1017" s="1">
        <v>187043</v>
      </c>
      <c r="C1017" s="2" t="s">
        <v>1351</v>
      </c>
      <c r="D1017" s="34">
        <v>-43.38</v>
      </c>
      <c r="E1017" t="s">
        <v>20</v>
      </c>
      <c r="F1017" s="2" t="e">
        <f>VLOOKUP(Tabla3[[#This Row],[CONTABLE]],'SAPROV (2)'!L:M,2,FALSE)</f>
        <v>#N/A</v>
      </c>
      <c r="H1017" t="s">
        <v>588</v>
      </c>
      <c r="I1017" s="2" t="str">
        <f>VLOOKUP(Tabla3[[#This Row],[Deposito]],'SAPROV (2)'!D:E,2,FALSE)</f>
        <v>A01</v>
      </c>
      <c r="K1017" s="23" t="s">
        <v>23</v>
      </c>
      <c r="L1017" s="23" t="str">
        <f>VLOOKUP(Tabla3[[#This Row],[PROVEEDOR]],'SAPROV (2)'!A:B,2,FALSE)</f>
        <v>04</v>
      </c>
      <c r="M1017" t="str">
        <f>VLOOKUP(Tabla3[[#This Row],[SERVICIO]],'SAPROV (2)'!I:J,2,FALSE)</f>
        <v>SERV0060</v>
      </c>
      <c r="N1017" t="s">
        <v>611</v>
      </c>
      <c r="P1017">
        <f>VLOOKUP(Tabla3[[#This Row],[FECHA]],TASA[],2,FALSE)</f>
        <v>367.31</v>
      </c>
      <c r="Q1017" s="4">
        <f t="shared" si="107"/>
        <v>-0.11810187579973321</v>
      </c>
      <c r="R1017" t="s">
        <v>1465</v>
      </c>
    </row>
    <row r="1018" spans="1:18" x14ac:dyDescent="0.25">
      <c r="A1018" s="33">
        <v>46052</v>
      </c>
      <c r="B1018" s="1">
        <v>187049</v>
      </c>
      <c r="C1018" s="2" t="s">
        <v>1412</v>
      </c>
      <c r="D1018" s="34">
        <v>-14459.6</v>
      </c>
      <c r="E1018" t="s">
        <v>20</v>
      </c>
      <c r="F1018" s="2" t="e">
        <f>VLOOKUP(Tabla3[[#This Row],[CONTABLE]],'SAPROV (2)'!L:M,2,FALSE)</f>
        <v>#N/A</v>
      </c>
      <c r="H1018" t="s">
        <v>1281</v>
      </c>
      <c r="I1018" s="2" t="str">
        <f>VLOOKUP(Tabla3[[#This Row],[Deposito]],'SAPROV (2)'!D:E,2,FALSE)</f>
        <v>07</v>
      </c>
      <c r="K1018" s="2" t="s">
        <v>101</v>
      </c>
      <c r="L1018" s="2" t="str">
        <f>VLOOKUP(Tabla3[[#This Row],[PROVEEDOR]],'SAPROV (2)'!A:B,2,FALSE)</f>
        <v>36</v>
      </c>
      <c r="M1018" t="str">
        <f>VLOOKUP(Tabla3[[#This Row],[SERVICIO]],'SAPROV (2)'!I:J,2,FALSE)</f>
        <v>SERV0011</v>
      </c>
      <c r="N1018" t="s">
        <v>927</v>
      </c>
      <c r="P1018">
        <f>VLOOKUP(Tabla3[[#This Row],[FECHA]],TASA[],2,FALSE)</f>
        <v>367.31</v>
      </c>
      <c r="Q1018" s="4">
        <f t="shared" si="107"/>
        <v>-39.366202934850669</v>
      </c>
      <c r="R1018" t="s">
        <v>1465</v>
      </c>
    </row>
    <row r="1019" spans="1:18" x14ac:dyDescent="0.25">
      <c r="A1019" s="33">
        <v>46052</v>
      </c>
      <c r="B1019" s="1">
        <v>187049</v>
      </c>
      <c r="C1019" s="2" t="s">
        <v>1353</v>
      </c>
      <c r="D1019" s="34">
        <v>-43.38</v>
      </c>
      <c r="E1019" t="s">
        <v>20</v>
      </c>
      <c r="F1019" s="2" t="e">
        <f>VLOOKUP(Tabla3[[#This Row],[CONTABLE]],'SAPROV (2)'!L:M,2,FALSE)</f>
        <v>#N/A</v>
      </c>
      <c r="H1019" t="s">
        <v>588</v>
      </c>
      <c r="I1019" s="2" t="str">
        <f>VLOOKUP(Tabla3[[#This Row],[Deposito]],'SAPROV (2)'!D:E,2,FALSE)</f>
        <v>A01</v>
      </c>
      <c r="K1019" s="23" t="s">
        <v>23</v>
      </c>
      <c r="L1019" s="23" t="str">
        <f>VLOOKUP(Tabla3[[#This Row],[PROVEEDOR]],'SAPROV (2)'!A:B,2,FALSE)</f>
        <v>04</v>
      </c>
      <c r="M1019" t="str">
        <f>VLOOKUP(Tabla3[[#This Row],[SERVICIO]],'SAPROV (2)'!I:J,2,FALSE)</f>
        <v>SERV0060</v>
      </c>
      <c r="N1019" t="s">
        <v>611</v>
      </c>
      <c r="P1019">
        <f>VLOOKUP(Tabla3[[#This Row],[FECHA]],TASA[],2,FALSE)</f>
        <v>367.31</v>
      </c>
      <c r="Q1019" s="4">
        <f t="shared" si="107"/>
        <v>-0.11810187579973321</v>
      </c>
      <c r="R1019" t="s">
        <v>1465</v>
      </c>
    </row>
    <row r="1020" spans="1:18" x14ac:dyDescent="0.25">
      <c r="A1020" s="33">
        <v>46052</v>
      </c>
      <c r="B1020" s="1">
        <v>187051</v>
      </c>
      <c r="C1020" s="2" t="s">
        <v>1412</v>
      </c>
      <c r="D1020" s="34">
        <v>-14459.6</v>
      </c>
      <c r="E1020" t="s">
        <v>20</v>
      </c>
      <c r="F1020" s="2" t="e">
        <f>VLOOKUP(Tabla3[[#This Row],[CONTABLE]],'SAPROV (2)'!L:M,2,FALSE)</f>
        <v>#N/A</v>
      </c>
      <c r="H1020" t="s">
        <v>1281</v>
      </c>
      <c r="I1020" s="2" t="str">
        <f>VLOOKUP(Tabla3[[#This Row],[Deposito]],'SAPROV (2)'!D:E,2,FALSE)</f>
        <v>07</v>
      </c>
      <c r="K1020" s="2" t="s">
        <v>101</v>
      </c>
      <c r="L1020" s="23" t="str">
        <f>VLOOKUP(Tabla3[[#This Row],[PROVEEDOR]],'SAPROV (2)'!A:B,2,FALSE)</f>
        <v>36</v>
      </c>
      <c r="M1020" t="str">
        <f>VLOOKUP(Tabla3[[#This Row],[SERVICIO]],'SAPROV (2)'!I:J,2,FALSE)</f>
        <v>SERV0011</v>
      </c>
      <c r="N1020" t="s">
        <v>927</v>
      </c>
      <c r="P1020">
        <f>VLOOKUP(Tabla3[[#This Row],[FECHA]],TASA[],2,FALSE)</f>
        <v>367.31</v>
      </c>
      <c r="Q1020" s="4">
        <f t="shared" si="107"/>
        <v>-39.366202934850669</v>
      </c>
      <c r="R1020" t="s">
        <v>1465</v>
      </c>
    </row>
    <row r="1021" spans="1:18" x14ac:dyDescent="0.25">
      <c r="A1021" s="33">
        <v>46052</v>
      </c>
      <c r="B1021" s="1">
        <v>187051</v>
      </c>
      <c r="C1021" s="2" t="s">
        <v>1355</v>
      </c>
      <c r="D1021" s="34">
        <v>-43.38</v>
      </c>
      <c r="E1021" t="s">
        <v>20</v>
      </c>
      <c r="F1021" s="2" t="e">
        <f>VLOOKUP(Tabla3[[#This Row],[CONTABLE]],'SAPROV (2)'!L:M,2,FALSE)</f>
        <v>#N/A</v>
      </c>
      <c r="H1021" t="s">
        <v>588</v>
      </c>
      <c r="I1021" s="2" t="str">
        <f>VLOOKUP(Tabla3[[#This Row],[Deposito]],'SAPROV (2)'!D:E,2,FALSE)</f>
        <v>A01</v>
      </c>
      <c r="K1021" s="23" t="s">
        <v>23</v>
      </c>
      <c r="L1021" s="2" t="str">
        <f>VLOOKUP(Tabla3[[#This Row],[PROVEEDOR]],'SAPROV (2)'!A:B,2,FALSE)</f>
        <v>04</v>
      </c>
      <c r="M1021" t="str">
        <f>VLOOKUP(Tabla3[[#This Row],[SERVICIO]],'SAPROV (2)'!I:J,2,FALSE)</f>
        <v>SERV0060</v>
      </c>
      <c r="N1021" t="s">
        <v>611</v>
      </c>
      <c r="P1021">
        <f>VLOOKUP(Tabla3[[#This Row],[FECHA]],TASA[],2,FALSE)</f>
        <v>367.31</v>
      </c>
      <c r="Q1021" s="4">
        <f t="shared" si="107"/>
        <v>-0.11810187579973321</v>
      </c>
      <c r="R1021" t="s">
        <v>1465</v>
      </c>
    </row>
    <row r="1022" spans="1:18" x14ac:dyDescent="0.25">
      <c r="A1022" s="33">
        <v>46052</v>
      </c>
      <c r="B1022" s="1">
        <v>187054</v>
      </c>
      <c r="C1022" s="2" t="s">
        <v>1413</v>
      </c>
      <c r="D1022" s="34">
        <v>-14459.6</v>
      </c>
      <c r="E1022" t="s">
        <v>20</v>
      </c>
      <c r="F1022" s="2" t="e">
        <f>VLOOKUP(Tabla3[[#This Row],[CONTABLE]],'SAPROV (2)'!L:M,2,FALSE)</f>
        <v>#N/A</v>
      </c>
      <c r="H1022" t="s">
        <v>1274</v>
      </c>
      <c r="I1022" s="2" t="str">
        <f>VLOOKUP(Tabla3[[#This Row],[Deposito]],'SAPROV (2)'!D:E,2,FALSE)</f>
        <v>02</v>
      </c>
      <c r="K1022" s="2" t="s">
        <v>101</v>
      </c>
      <c r="L1022" s="23" t="str">
        <f>VLOOKUP(Tabla3[[#This Row],[PROVEEDOR]],'SAPROV (2)'!A:B,2,FALSE)</f>
        <v>36</v>
      </c>
      <c r="M1022" t="str">
        <f>VLOOKUP(Tabla3[[#This Row],[SERVICIO]],'SAPROV (2)'!I:J,2,FALSE)</f>
        <v>SERV0011</v>
      </c>
      <c r="N1022" t="s">
        <v>927</v>
      </c>
      <c r="P1022">
        <f>VLOOKUP(Tabla3[[#This Row],[FECHA]],TASA[],2,FALSE)</f>
        <v>367.31</v>
      </c>
      <c r="Q1022" s="4">
        <f t="shared" si="107"/>
        <v>-39.366202934850669</v>
      </c>
      <c r="R1022" t="s">
        <v>1465</v>
      </c>
    </row>
    <row r="1023" spans="1:18" x14ac:dyDescent="0.25">
      <c r="A1023" s="33">
        <v>46052</v>
      </c>
      <c r="B1023" s="1">
        <v>187054</v>
      </c>
      <c r="C1023" s="2" t="s">
        <v>1357</v>
      </c>
      <c r="D1023" s="34">
        <v>-43.38</v>
      </c>
      <c r="E1023" t="s">
        <v>20</v>
      </c>
      <c r="F1023" s="2" t="e">
        <f>VLOOKUP(Tabla3[[#This Row],[CONTABLE]],'SAPROV (2)'!L:M,2,FALSE)</f>
        <v>#N/A</v>
      </c>
      <c r="H1023" t="s">
        <v>588</v>
      </c>
      <c r="I1023" s="2" t="str">
        <f>VLOOKUP(Tabla3[[#This Row],[Deposito]],'SAPROV (2)'!D:E,2,FALSE)</f>
        <v>A01</v>
      </c>
      <c r="K1023" s="23" t="s">
        <v>23</v>
      </c>
      <c r="L1023" s="23" t="str">
        <f>VLOOKUP(Tabla3[[#This Row],[PROVEEDOR]],'SAPROV (2)'!A:B,2,FALSE)</f>
        <v>04</v>
      </c>
      <c r="M1023" t="str">
        <f>VLOOKUP(Tabla3[[#This Row],[SERVICIO]],'SAPROV (2)'!I:J,2,FALSE)</f>
        <v>SERV0060</v>
      </c>
      <c r="N1023" t="s">
        <v>611</v>
      </c>
      <c r="P1023">
        <f>VLOOKUP(Tabla3[[#This Row],[FECHA]],TASA[],2,FALSE)</f>
        <v>367.31</v>
      </c>
      <c r="Q1023" s="4">
        <f t="shared" si="107"/>
        <v>-0.11810187579973321</v>
      </c>
      <c r="R1023" t="s">
        <v>1465</v>
      </c>
    </row>
    <row r="1024" spans="1:18" x14ac:dyDescent="0.25">
      <c r="A1024" s="33">
        <v>46052</v>
      </c>
      <c r="B1024" s="1">
        <v>187058</v>
      </c>
      <c r="C1024" s="2" t="s">
        <v>1413</v>
      </c>
      <c r="D1024" s="34">
        <v>-14459.6</v>
      </c>
      <c r="E1024" t="s">
        <v>20</v>
      </c>
      <c r="F1024" s="2" t="e">
        <f>VLOOKUP(Tabla3[[#This Row],[CONTABLE]],'SAPROV (2)'!L:M,2,FALSE)</f>
        <v>#N/A</v>
      </c>
      <c r="H1024" t="s">
        <v>1274</v>
      </c>
      <c r="I1024" s="2" t="str">
        <f>VLOOKUP(Tabla3[[#This Row],[Deposito]],'SAPROV (2)'!D:E,2,FALSE)</f>
        <v>02</v>
      </c>
      <c r="K1024" s="2" t="s">
        <v>101</v>
      </c>
      <c r="L1024" s="2" t="str">
        <f>VLOOKUP(Tabla3[[#This Row],[PROVEEDOR]],'SAPROV (2)'!A:B,2,FALSE)</f>
        <v>36</v>
      </c>
      <c r="M1024" t="str">
        <f>VLOOKUP(Tabla3[[#This Row],[SERVICIO]],'SAPROV (2)'!I:J,2,FALSE)</f>
        <v>SERV0011</v>
      </c>
      <c r="N1024" t="s">
        <v>927</v>
      </c>
      <c r="P1024">
        <f>VLOOKUP(Tabla3[[#This Row],[FECHA]],TASA[],2,FALSE)</f>
        <v>367.31</v>
      </c>
      <c r="Q1024" s="4">
        <f t="shared" si="107"/>
        <v>-39.366202934850669</v>
      </c>
      <c r="R1024" t="s">
        <v>1465</v>
      </c>
    </row>
    <row r="1025" spans="1:18" x14ac:dyDescent="0.25">
      <c r="A1025" s="33">
        <v>46052</v>
      </c>
      <c r="B1025" s="1">
        <v>187058</v>
      </c>
      <c r="C1025" s="2" t="s">
        <v>1359</v>
      </c>
      <c r="D1025" s="34">
        <v>-43.38</v>
      </c>
      <c r="E1025" t="s">
        <v>20</v>
      </c>
      <c r="F1025" s="2" t="e">
        <f>VLOOKUP(Tabla3[[#This Row],[CONTABLE]],'SAPROV (2)'!L:M,2,FALSE)</f>
        <v>#N/A</v>
      </c>
      <c r="H1025" t="s">
        <v>588</v>
      </c>
      <c r="I1025" s="2" t="str">
        <f>VLOOKUP(Tabla3[[#This Row],[Deposito]],'SAPROV (2)'!D:E,2,FALSE)</f>
        <v>A01</v>
      </c>
      <c r="K1025" s="23" t="s">
        <v>23</v>
      </c>
      <c r="L1025" s="23" t="str">
        <f>VLOOKUP(Tabla3[[#This Row],[PROVEEDOR]],'SAPROV (2)'!A:B,2,FALSE)</f>
        <v>04</v>
      </c>
      <c r="M1025" t="str">
        <f>VLOOKUP(Tabla3[[#This Row],[SERVICIO]],'SAPROV (2)'!I:J,2,FALSE)</f>
        <v>SERV0060</v>
      </c>
      <c r="N1025" t="s">
        <v>611</v>
      </c>
      <c r="P1025">
        <f>VLOOKUP(Tabla3[[#This Row],[FECHA]],TASA[],2,FALSE)</f>
        <v>367.31</v>
      </c>
      <c r="Q1025" s="4">
        <f t="shared" si="107"/>
        <v>-0.11810187579973321</v>
      </c>
      <c r="R1025" t="s">
        <v>1465</v>
      </c>
    </row>
    <row r="1026" spans="1:18" x14ac:dyDescent="0.25">
      <c r="A1026" s="33">
        <v>46052</v>
      </c>
      <c r="B1026" s="1">
        <v>187059</v>
      </c>
      <c r="C1026" s="2" t="s">
        <v>1413</v>
      </c>
      <c r="D1026" s="34">
        <v>-14459.6</v>
      </c>
      <c r="E1026" t="s">
        <v>20</v>
      </c>
      <c r="F1026" s="2" t="e">
        <f>VLOOKUP(Tabla3[[#This Row],[CONTABLE]],'SAPROV (2)'!L:M,2,FALSE)</f>
        <v>#N/A</v>
      </c>
      <c r="H1026" t="s">
        <v>1274</v>
      </c>
      <c r="I1026" s="2" t="str">
        <f>VLOOKUP(Tabla3[[#This Row],[Deposito]],'SAPROV (2)'!D:E,2,FALSE)</f>
        <v>02</v>
      </c>
      <c r="K1026" s="2" t="s">
        <v>101</v>
      </c>
      <c r="L1026" s="23" t="str">
        <f>VLOOKUP(Tabla3[[#This Row],[PROVEEDOR]],'SAPROV (2)'!A:B,2,FALSE)</f>
        <v>36</v>
      </c>
      <c r="M1026" t="str">
        <f>VLOOKUP(Tabla3[[#This Row],[SERVICIO]],'SAPROV (2)'!I:J,2,FALSE)</f>
        <v>SERV0011</v>
      </c>
      <c r="N1026" t="s">
        <v>927</v>
      </c>
      <c r="P1026">
        <f>VLOOKUP(Tabla3[[#This Row],[FECHA]],TASA[],2,FALSE)</f>
        <v>367.31</v>
      </c>
      <c r="Q1026" s="4">
        <f t="shared" si="107"/>
        <v>-39.366202934850669</v>
      </c>
      <c r="R1026" t="s">
        <v>1465</v>
      </c>
    </row>
    <row r="1027" spans="1:18" x14ac:dyDescent="0.25">
      <c r="A1027" s="33">
        <v>46052</v>
      </c>
      <c r="B1027" s="1">
        <v>187059</v>
      </c>
      <c r="C1027" s="2" t="s">
        <v>1361</v>
      </c>
      <c r="D1027" s="34">
        <v>-43.38</v>
      </c>
      <c r="E1027" t="s">
        <v>20</v>
      </c>
      <c r="F1027" s="2" t="e">
        <f>VLOOKUP(Tabla3[[#This Row],[CONTABLE]],'SAPROV (2)'!L:M,2,FALSE)</f>
        <v>#N/A</v>
      </c>
      <c r="H1027" t="s">
        <v>588</v>
      </c>
      <c r="I1027" s="2" t="str">
        <f>VLOOKUP(Tabla3[[#This Row],[Deposito]],'SAPROV (2)'!D:E,2,FALSE)</f>
        <v>A01</v>
      </c>
      <c r="K1027" s="23" t="s">
        <v>23</v>
      </c>
      <c r="L1027" s="2" t="str">
        <f>VLOOKUP(Tabla3[[#This Row],[PROVEEDOR]],'SAPROV (2)'!A:B,2,FALSE)</f>
        <v>04</v>
      </c>
      <c r="M1027" t="str">
        <f>VLOOKUP(Tabla3[[#This Row],[SERVICIO]],'SAPROV (2)'!I:J,2,FALSE)</f>
        <v>SERV0060</v>
      </c>
      <c r="N1027" t="s">
        <v>611</v>
      </c>
      <c r="P1027">
        <f>VLOOKUP(Tabla3[[#This Row],[FECHA]],TASA[],2,FALSE)</f>
        <v>367.31</v>
      </c>
      <c r="Q1027" s="4">
        <f t="shared" si="107"/>
        <v>-0.11810187579973321</v>
      </c>
      <c r="R1027" t="s">
        <v>1465</v>
      </c>
    </row>
    <row r="1028" spans="1:18" x14ac:dyDescent="0.25">
      <c r="A1028" s="33">
        <v>46052</v>
      </c>
      <c r="B1028" s="1">
        <v>187065</v>
      </c>
      <c r="C1028" s="2" t="s">
        <v>1413</v>
      </c>
      <c r="D1028" s="34">
        <v>-14459.6</v>
      </c>
      <c r="E1028" t="s">
        <v>20</v>
      </c>
      <c r="F1028" s="2" t="e">
        <f>VLOOKUP(Tabla3[[#This Row],[CONTABLE]],'SAPROV (2)'!L:M,2,FALSE)</f>
        <v>#N/A</v>
      </c>
      <c r="H1028" t="s">
        <v>1274</v>
      </c>
      <c r="I1028" s="2" t="str">
        <f>VLOOKUP(Tabla3[[#This Row],[Deposito]],'SAPROV (2)'!D:E,2,FALSE)</f>
        <v>02</v>
      </c>
      <c r="K1028" s="2" t="s">
        <v>101</v>
      </c>
      <c r="L1028" s="23" t="str">
        <f>VLOOKUP(Tabla3[[#This Row],[PROVEEDOR]],'SAPROV (2)'!A:B,2,FALSE)</f>
        <v>36</v>
      </c>
      <c r="M1028" t="str">
        <f>VLOOKUP(Tabla3[[#This Row],[SERVICIO]],'SAPROV (2)'!I:J,2,FALSE)</f>
        <v>SERV0011</v>
      </c>
      <c r="N1028" t="s">
        <v>927</v>
      </c>
      <c r="P1028">
        <f>VLOOKUP(Tabla3[[#This Row],[FECHA]],TASA[],2,FALSE)</f>
        <v>367.31</v>
      </c>
      <c r="Q1028" s="4">
        <f t="shared" ref="Q1028:Q1091" si="108">D1028/P1028</f>
        <v>-39.366202934850669</v>
      </c>
      <c r="R1028" t="s">
        <v>1465</v>
      </c>
    </row>
    <row r="1029" spans="1:18" x14ac:dyDescent="0.25">
      <c r="A1029" s="33">
        <v>46052</v>
      </c>
      <c r="B1029" s="1">
        <v>187065</v>
      </c>
      <c r="C1029" s="2" t="s">
        <v>1363</v>
      </c>
      <c r="D1029" s="34">
        <v>-43.38</v>
      </c>
      <c r="E1029" t="s">
        <v>20</v>
      </c>
      <c r="F1029" s="2" t="e">
        <f>VLOOKUP(Tabla3[[#This Row],[CONTABLE]],'SAPROV (2)'!L:M,2,FALSE)</f>
        <v>#N/A</v>
      </c>
      <c r="H1029" t="s">
        <v>588</v>
      </c>
      <c r="I1029" s="2" t="str">
        <f>VLOOKUP(Tabla3[[#This Row],[Deposito]],'SAPROV (2)'!D:E,2,FALSE)</f>
        <v>A01</v>
      </c>
      <c r="K1029" s="23" t="s">
        <v>23</v>
      </c>
      <c r="L1029" s="23" t="str">
        <f>VLOOKUP(Tabla3[[#This Row],[PROVEEDOR]],'SAPROV (2)'!A:B,2,FALSE)</f>
        <v>04</v>
      </c>
      <c r="M1029" t="str">
        <f>VLOOKUP(Tabla3[[#This Row],[SERVICIO]],'SAPROV (2)'!I:J,2,FALSE)</f>
        <v>SERV0060</v>
      </c>
      <c r="N1029" t="s">
        <v>611</v>
      </c>
      <c r="P1029">
        <f>VLOOKUP(Tabla3[[#This Row],[FECHA]],TASA[],2,FALSE)</f>
        <v>367.31</v>
      </c>
      <c r="Q1029" s="4">
        <f t="shared" si="108"/>
        <v>-0.11810187579973321</v>
      </c>
      <c r="R1029" t="s">
        <v>1465</v>
      </c>
    </row>
    <row r="1030" spans="1:18" x14ac:dyDescent="0.25">
      <c r="A1030" s="33">
        <v>46052</v>
      </c>
      <c r="B1030" s="1">
        <v>187070</v>
      </c>
      <c r="C1030" s="2" t="s">
        <v>1413</v>
      </c>
      <c r="D1030" s="34">
        <v>-14459.6</v>
      </c>
      <c r="E1030" t="s">
        <v>20</v>
      </c>
      <c r="F1030" s="2" t="e">
        <f>VLOOKUP(Tabla3[[#This Row],[CONTABLE]],'SAPROV (2)'!L:M,2,FALSE)</f>
        <v>#N/A</v>
      </c>
      <c r="H1030" t="s">
        <v>1274</v>
      </c>
      <c r="I1030" s="2" t="str">
        <f>VLOOKUP(Tabla3[[#This Row],[Deposito]],'SAPROV (2)'!D:E,2,FALSE)</f>
        <v>02</v>
      </c>
      <c r="K1030" s="2" t="s">
        <v>101</v>
      </c>
      <c r="L1030" s="2" t="str">
        <f>VLOOKUP(Tabla3[[#This Row],[PROVEEDOR]],'SAPROV (2)'!A:B,2,FALSE)</f>
        <v>36</v>
      </c>
      <c r="M1030" t="str">
        <f>VLOOKUP(Tabla3[[#This Row],[SERVICIO]],'SAPROV (2)'!I:J,2,FALSE)</f>
        <v>SERV0011</v>
      </c>
      <c r="N1030" t="s">
        <v>927</v>
      </c>
      <c r="P1030">
        <f>VLOOKUP(Tabla3[[#This Row],[FECHA]],TASA[],2,FALSE)</f>
        <v>367.31</v>
      </c>
      <c r="Q1030" s="4">
        <f t="shared" si="108"/>
        <v>-39.366202934850669</v>
      </c>
      <c r="R1030" t="s">
        <v>1465</v>
      </c>
    </row>
    <row r="1031" spans="1:18" x14ac:dyDescent="0.25">
      <c r="A1031" s="33">
        <v>46052</v>
      </c>
      <c r="B1031" s="1">
        <v>187070</v>
      </c>
      <c r="C1031" s="2" t="s">
        <v>1365</v>
      </c>
      <c r="D1031" s="34">
        <v>-43.38</v>
      </c>
      <c r="E1031" t="s">
        <v>20</v>
      </c>
      <c r="F1031" s="2" t="e">
        <f>VLOOKUP(Tabla3[[#This Row],[CONTABLE]],'SAPROV (2)'!L:M,2,FALSE)</f>
        <v>#N/A</v>
      </c>
      <c r="H1031" t="s">
        <v>588</v>
      </c>
      <c r="I1031" s="2" t="str">
        <f>VLOOKUP(Tabla3[[#This Row],[Deposito]],'SAPROV (2)'!D:E,2,FALSE)</f>
        <v>A01</v>
      </c>
      <c r="K1031" s="23" t="s">
        <v>23</v>
      </c>
      <c r="L1031" s="23" t="str">
        <f>VLOOKUP(Tabla3[[#This Row],[PROVEEDOR]],'SAPROV (2)'!A:B,2,FALSE)</f>
        <v>04</v>
      </c>
      <c r="M1031" t="str">
        <f>VLOOKUP(Tabla3[[#This Row],[SERVICIO]],'SAPROV (2)'!I:J,2,FALSE)</f>
        <v>SERV0060</v>
      </c>
      <c r="N1031" t="s">
        <v>611</v>
      </c>
      <c r="P1031">
        <f>VLOOKUP(Tabla3[[#This Row],[FECHA]],TASA[],2,FALSE)</f>
        <v>367.31</v>
      </c>
      <c r="Q1031" s="4">
        <f t="shared" si="108"/>
        <v>-0.11810187579973321</v>
      </c>
      <c r="R1031" t="s">
        <v>1465</v>
      </c>
    </row>
    <row r="1032" spans="1:18" x14ac:dyDescent="0.25">
      <c r="A1032" s="33">
        <v>46052</v>
      </c>
      <c r="B1032" s="1">
        <v>187075</v>
      </c>
      <c r="C1032" s="2" t="s">
        <v>1413</v>
      </c>
      <c r="D1032" s="34">
        <v>-14459.6</v>
      </c>
      <c r="E1032" t="s">
        <v>20</v>
      </c>
      <c r="F1032" s="2" t="e">
        <f>VLOOKUP(Tabla3[[#This Row],[CONTABLE]],'SAPROV (2)'!L:M,2,FALSE)</f>
        <v>#N/A</v>
      </c>
      <c r="H1032" t="s">
        <v>1274</v>
      </c>
      <c r="I1032" s="2" t="str">
        <f>VLOOKUP(Tabla3[[#This Row],[Deposito]],'SAPROV (2)'!D:E,2,FALSE)</f>
        <v>02</v>
      </c>
      <c r="K1032" s="2" t="s">
        <v>101</v>
      </c>
      <c r="L1032" s="23" t="str">
        <f>VLOOKUP(Tabla3[[#This Row],[PROVEEDOR]],'SAPROV (2)'!A:B,2,FALSE)</f>
        <v>36</v>
      </c>
      <c r="M1032" t="str">
        <f>VLOOKUP(Tabla3[[#This Row],[SERVICIO]],'SAPROV (2)'!I:J,2,FALSE)</f>
        <v>SERV0011</v>
      </c>
      <c r="N1032" t="s">
        <v>927</v>
      </c>
      <c r="P1032">
        <f>VLOOKUP(Tabla3[[#This Row],[FECHA]],TASA[],2,FALSE)</f>
        <v>367.31</v>
      </c>
      <c r="Q1032" s="4">
        <f t="shared" si="108"/>
        <v>-39.366202934850669</v>
      </c>
      <c r="R1032" t="s">
        <v>1465</v>
      </c>
    </row>
    <row r="1033" spans="1:18" x14ac:dyDescent="0.25">
      <c r="A1033" s="33">
        <v>46052</v>
      </c>
      <c r="B1033" s="1">
        <v>187075</v>
      </c>
      <c r="C1033" s="2" t="s">
        <v>1367</v>
      </c>
      <c r="D1033" s="34">
        <v>-43.38</v>
      </c>
      <c r="E1033" t="s">
        <v>20</v>
      </c>
      <c r="F1033" s="2" t="e">
        <f>VLOOKUP(Tabla3[[#This Row],[CONTABLE]],'SAPROV (2)'!L:M,2,FALSE)</f>
        <v>#N/A</v>
      </c>
      <c r="H1033" t="s">
        <v>588</v>
      </c>
      <c r="I1033" s="2" t="str">
        <f>VLOOKUP(Tabla3[[#This Row],[Deposito]],'SAPROV (2)'!D:E,2,FALSE)</f>
        <v>A01</v>
      </c>
      <c r="K1033" s="23" t="s">
        <v>23</v>
      </c>
      <c r="L1033" s="2" t="str">
        <f>VLOOKUP(Tabla3[[#This Row],[PROVEEDOR]],'SAPROV (2)'!A:B,2,FALSE)</f>
        <v>04</v>
      </c>
      <c r="M1033" t="str">
        <f>VLOOKUP(Tabla3[[#This Row],[SERVICIO]],'SAPROV (2)'!I:J,2,FALSE)</f>
        <v>SERV0060</v>
      </c>
      <c r="N1033" t="s">
        <v>611</v>
      </c>
      <c r="P1033">
        <f>VLOOKUP(Tabla3[[#This Row],[FECHA]],TASA[],2,FALSE)</f>
        <v>367.31</v>
      </c>
      <c r="Q1033" s="4">
        <f t="shared" si="108"/>
        <v>-0.11810187579973321</v>
      </c>
      <c r="R1033" t="s">
        <v>1465</v>
      </c>
    </row>
    <row r="1034" spans="1:18" x14ac:dyDescent="0.25">
      <c r="A1034" s="33">
        <v>46052</v>
      </c>
      <c r="B1034" s="1">
        <v>187079</v>
      </c>
      <c r="C1034" s="2" t="s">
        <v>1413</v>
      </c>
      <c r="D1034" s="34">
        <v>-14459.6</v>
      </c>
      <c r="E1034" t="s">
        <v>20</v>
      </c>
      <c r="F1034" s="2" t="e">
        <f>VLOOKUP(Tabla3[[#This Row],[CONTABLE]],'SAPROV (2)'!L:M,2,FALSE)</f>
        <v>#N/A</v>
      </c>
      <c r="H1034" t="s">
        <v>1274</v>
      </c>
      <c r="I1034" s="2" t="str">
        <f>VLOOKUP(Tabla3[[#This Row],[Deposito]],'SAPROV (2)'!D:E,2,FALSE)</f>
        <v>02</v>
      </c>
      <c r="K1034" s="2" t="s">
        <v>101</v>
      </c>
      <c r="L1034" s="23" t="str">
        <f>VLOOKUP(Tabla3[[#This Row],[PROVEEDOR]],'SAPROV (2)'!A:B,2,FALSE)</f>
        <v>36</v>
      </c>
      <c r="M1034" t="str">
        <f>VLOOKUP(Tabla3[[#This Row],[SERVICIO]],'SAPROV (2)'!I:J,2,FALSE)</f>
        <v>SERV0011</v>
      </c>
      <c r="N1034" t="s">
        <v>927</v>
      </c>
      <c r="P1034">
        <f>VLOOKUP(Tabla3[[#This Row],[FECHA]],TASA[],2,FALSE)</f>
        <v>367.31</v>
      </c>
      <c r="Q1034" s="4">
        <f t="shared" si="108"/>
        <v>-39.366202934850669</v>
      </c>
      <c r="R1034" t="s">
        <v>1465</v>
      </c>
    </row>
    <row r="1035" spans="1:18" x14ac:dyDescent="0.25">
      <c r="A1035" s="33">
        <v>46052</v>
      </c>
      <c r="B1035" s="1">
        <v>187079</v>
      </c>
      <c r="C1035" s="2" t="s">
        <v>1369</v>
      </c>
      <c r="D1035" s="34">
        <v>-43.38</v>
      </c>
      <c r="E1035" t="s">
        <v>20</v>
      </c>
      <c r="F1035" s="2" t="e">
        <f>VLOOKUP(Tabla3[[#This Row],[CONTABLE]],'SAPROV (2)'!L:M,2,FALSE)</f>
        <v>#N/A</v>
      </c>
      <c r="H1035" t="s">
        <v>588</v>
      </c>
      <c r="I1035" s="2" t="str">
        <f>VLOOKUP(Tabla3[[#This Row],[Deposito]],'SAPROV (2)'!D:E,2,FALSE)</f>
        <v>A01</v>
      </c>
      <c r="K1035" s="23" t="s">
        <v>23</v>
      </c>
      <c r="L1035" s="23" t="str">
        <f>VLOOKUP(Tabla3[[#This Row],[PROVEEDOR]],'SAPROV (2)'!A:B,2,FALSE)</f>
        <v>04</v>
      </c>
      <c r="M1035" t="str">
        <f>VLOOKUP(Tabla3[[#This Row],[SERVICIO]],'SAPROV (2)'!I:J,2,FALSE)</f>
        <v>SERV0060</v>
      </c>
      <c r="N1035" t="s">
        <v>611</v>
      </c>
      <c r="P1035">
        <f>VLOOKUP(Tabla3[[#This Row],[FECHA]],TASA[],2,FALSE)</f>
        <v>367.31</v>
      </c>
      <c r="Q1035" s="4">
        <f t="shared" si="108"/>
        <v>-0.11810187579973321</v>
      </c>
      <c r="R1035" t="s">
        <v>1465</v>
      </c>
    </row>
    <row r="1036" spans="1:18" x14ac:dyDescent="0.25">
      <c r="A1036" s="33">
        <v>46052</v>
      </c>
      <c r="B1036" s="1">
        <v>187086</v>
      </c>
      <c r="C1036" s="2" t="s">
        <v>1414</v>
      </c>
      <c r="D1036" s="34">
        <v>-14459.6</v>
      </c>
      <c r="E1036" t="s">
        <v>20</v>
      </c>
      <c r="F1036" s="2" t="e">
        <f>VLOOKUP(Tabla3[[#This Row],[CONTABLE]],'SAPROV (2)'!L:M,2,FALSE)</f>
        <v>#N/A</v>
      </c>
      <c r="H1036" t="s">
        <v>1280</v>
      </c>
      <c r="I1036" s="2" t="str">
        <f>VLOOKUP(Tabla3[[#This Row],[Deposito]],'SAPROV (2)'!D:E,2,FALSE)</f>
        <v>01</v>
      </c>
      <c r="K1036" s="2" t="s">
        <v>101</v>
      </c>
      <c r="L1036" s="2" t="str">
        <f>VLOOKUP(Tabla3[[#This Row],[PROVEEDOR]],'SAPROV (2)'!A:B,2,FALSE)</f>
        <v>36</v>
      </c>
      <c r="M1036" t="str">
        <f>VLOOKUP(Tabla3[[#This Row],[SERVICIO]],'SAPROV (2)'!I:J,2,FALSE)</f>
        <v>SERV0011</v>
      </c>
      <c r="N1036" t="s">
        <v>927</v>
      </c>
      <c r="P1036">
        <f>VLOOKUP(Tabla3[[#This Row],[FECHA]],TASA[],2,FALSE)</f>
        <v>367.31</v>
      </c>
      <c r="Q1036" s="4">
        <f t="shared" si="108"/>
        <v>-39.366202934850669</v>
      </c>
      <c r="R1036" t="s">
        <v>1465</v>
      </c>
    </row>
    <row r="1037" spans="1:18" x14ac:dyDescent="0.25">
      <c r="A1037" s="33">
        <v>46052</v>
      </c>
      <c r="B1037" s="1">
        <v>187086</v>
      </c>
      <c r="C1037" s="2" t="s">
        <v>1371</v>
      </c>
      <c r="D1037" s="34">
        <v>-43.38</v>
      </c>
      <c r="E1037" t="s">
        <v>20</v>
      </c>
      <c r="F1037" s="2" t="e">
        <f>VLOOKUP(Tabla3[[#This Row],[CONTABLE]],'SAPROV (2)'!L:M,2,FALSE)</f>
        <v>#N/A</v>
      </c>
      <c r="H1037" t="s">
        <v>588</v>
      </c>
      <c r="I1037" s="2" t="str">
        <f>VLOOKUP(Tabla3[[#This Row],[Deposito]],'SAPROV (2)'!D:E,2,FALSE)</f>
        <v>A01</v>
      </c>
      <c r="K1037" s="23" t="s">
        <v>23</v>
      </c>
      <c r="L1037" s="23" t="str">
        <f>VLOOKUP(Tabla3[[#This Row],[PROVEEDOR]],'SAPROV (2)'!A:B,2,FALSE)</f>
        <v>04</v>
      </c>
      <c r="M1037" t="str">
        <f>VLOOKUP(Tabla3[[#This Row],[SERVICIO]],'SAPROV (2)'!I:J,2,FALSE)</f>
        <v>SERV0060</v>
      </c>
      <c r="N1037" t="s">
        <v>611</v>
      </c>
      <c r="P1037">
        <f>VLOOKUP(Tabla3[[#This Row],[FECHA]],TASA[],2,FALSE)</f>
        <v>367.31</v>
      </c>
      <c r="Q1037" s="4">
        <f t="shared" si="108"/>
        <v>-0.11810187579973321</v>
      </c>
      <c r="R1037" t="s">
        <v>1465</v>
      </c>
    </row>
    <row r="1038" spans="1:18" x14ac:dyDescent="0.25">
      <c r="A1038" s="33">
        <v>46052</v>
      </c>
      <c r="B1038" s="1">
        <v>187090</v>
      </c>
      <c r="C1038" s="2" t="s">
        <v>1414</v>
      </c>
      <c r="D1038" s="34">
        <v>-14459.6</v>
      </c>
      <c r="E1038" t="s">
        <v>20</v>
      </c>
      <c r="F1038" s="2" t="e">
        <f>VLOOKUP(Tabla3[[#This Row],[CONTABLE]],'SAPROV (2)'!L:M,2,FALSE)</f>
        <v>#N/A</v>
      </c>
      <c r="H1038" t="s">
        <v>1280</v>
      </c>
      <c r="I1038" s="2" t="str">
        <f>VLOOKUP(Tabla3[[#This Row],[Deposito]],'SAPROV (2)'!D:E,2,FALSE)</f>
        <v>01</v>
      </c>
      <c r="K1038" s="2" t="s">
        <v>101</v>
      </c>
      <c r="L1038" s="23" t="str">
        <f>VLOOKUP(Tabla3[[#This Row],[PROVEEDOR]],'SAPROV (2)'!A:B,2,FALSE)</f>
        <v>36</v>
      </c>
      <c r="M1038" t="str">
        <f>VLOOKUP(Tabla3[[#This Row],[SERVICIO]],'SAPROV (2)'!I:J,2,FALSE)</f>
        <v>SERV0011</v>
      </c>
      <c r="N1038" t="s">
        <v>927</v>
      </c>
      <c r="P1038">
        <f>VLOOKUP(Tabla3[[#This Row],[FECHA]],TASA[],2,FALSE)</f>
        <v>367.31</v>
      </c>
      <c r="Q1038" s="4">
        <f t="shared" si="108"/>
        <v>-39.366202934850669</v>
      </c>
      <c r="R1038" t="s">
        <v>1465</v>
      </c>
    </row>
    <row r="1039" spans="1:18" x14ac:dyDescent="0.25">
      <c r="A1039" s="33">
        <v>46052</v>
      </c>
      <c r="B1039" s="1">
        <v>187090</v>
      </c>
      <c r="C1039" s="2" t="s">
        <v>1373</v>
      </c>
      <c r="D1039" s="34">
        <v>-43.38</v>
      </c>
      <c r="E1039" t="s">
        <v>20</v>
      </c>
      <c r="F1039" s="2" t="e">
        <f>VLOOKUP(Tabla3[[#This Row],[CONTABLE]],'SAPROV (2)'!L:M,2,FALSE)</f>
        <v>#N/A</v>
      </c>
      <c r="H1039" t="s">
        <v>588</v>
      </c>
      <c r="I1039" s="2" t="str">
        <f>VLOOKUP(Tabla3[[#This Row],[Deposito]],'SAPROV (2)'!D:E,2,FALSE)</f>
        <v>A01</v>
      </c>
      <c r="K1039" s="23" t="s">
        <v>23</v>
      </c>
      <c r="L1039" s="2" t="str">
        <f>VLOOKUP(Tabla3[[#This Row],[PROVEEDOR]],'SAPROV (2)'!A:B,2,FALSE)</f>
        <v>04</v>
      </c>
      <c r="M1039" t="str">
        <f>VLOOKUP(Tabla3[[#This Row],[SERVICIO]],'SAPROV (2)'!I:J,2,FALSE)</f>
        <v>SERV0060</v>
      </c>
      <c r="N1039" t="s">
        <v>611</v>
      </c>
      <c r="P1039">
        <f>VLOOKUP(Tabla3[[#This Row],[FECHA]],TASA[],2,FALSE)</f>
        <v>367.31</v>
      </c>
      <c r="Q1039" s="4">
        <f t="shared" si="108"/>
        <v>-0.11810187579973321</v>
      </c>
      <c r="R1039" t="s">
        <v>1465</v>
      </c>
    </row>
    <row r="1040" spans="1:18" x14ac:dyDescent="0.25">
      <c r="A1040" s="33">
        <v>46052</v>
      </c>
      <c r="B1040" s="1">
        <v>187104</v>
      </c>
      <c r="C1040" s="2" t="s">
        <v>1414</v>
      </c>
      <c r="D1040" s="34">
        <v>-14459.6</v>
      </c>
      <c r="E1040" t="s">
        <v>20</v>
      </c>
      <c r="F1040" s="2" t="e">
        <f>VLOOKUP(Tabla3[[#This Row],[CONTABLE]],'SAPROV (2)'!L:M,2,FALSE)</f>
        <v>#N/A</v>
      </c>
      <c r="H1040" t="s">
        <v>1280</v>
      </c>
      <c r="I1040" s="2" t="str">
        <f>VLOOKUP(Tabla3[[#This Row],[Deposito]],'SAPROV (2)'!D:E,2,FALSE)</f>
        <v>01</v>
      </c>
      <c r="K1040" s="2" t="s">
        <v>101</v>
      </c>
      <c r="L1040" s="23" t="str">
        <f>VLOOKUP(Tabla3[[#This Row],[PROVEEDOR]],'SAPROV (2)'!A:B,2,FALSE)</f>
        <v>36</v>
      </c>
      <c r="M1040" t="str">
        <f>VLOOKUP(Tabla3[[#This Row],[SERVICIO]],'SAPROV (2)'!I:J,2,FALSE)</f>
        <v>SERV0011</v>
      </c>
      <c r="N1040" t="s">
        <v>927</v>
      </c>
      <c r="P1040">
        <f>VLOOKUP(Tabla3[[#This Row],[FECHA]],TASA[],2,FALSE)</f>
        <v>367.31</v>
      </c>
      <c r="Q1040" s="4">
        <f t="shared" si="108"/>
        <v>-39.366202934850669</v>
      </c>
      <c r="R1040" t="s">
        <v>1465</v>
      </c>
    </row>
    <row r="1041" spans="1:18" x14ac:dyDescent="0.25">
      <c r="A1041" s="33">
        <v>46052</v>
      </c>
      <c r="B1041" s="1">
        <v>187104</v>
      </c>
      <c r="C1041" s="2" t="s">
        <v>1375</v>
      </c>
      <c r="D1041" s="34">
        <v>-43.38</v>
      </c>
      <c r="E1041" t="s">
        <v>20</v>
      </c>
      <c r="F1041" s="2" t="e">
        <f>VLOOKUP(Tabla3[[#This Row],[CONTABLE]],'SAPROV (2)'!L:M,2,FALSE)</f>
        <v>#N/A</v>
      </c>
      <c r="H1041" t="s">
        <v>588</v>
      </c>
      <c r="I1041" s="2" t="str">
        <f>VLOOKUP(Tabla3[[#This Row],[Deposito]],'SAPROV (2)'!D:E,2,FALSE)</f>
        <v>A01</v>
      </c>
      <c r="K1041" s="23" t="s">
        <v>23</v>
      </c>
      <c r="L1041" s="23" t="str">
        <f>VLOOKUP(Tabla3[[#This Row],[PROVEEDOR]],'SAPROV (2)'!A:B,2,FALSE)</f>
        <v>04</v>
      </c>
      <c r="M1041" t="str">
        <f>VLOOKUP(Tabla3[[#This Row],[SERVICIO]],'SAPROV (2)'!I:J,2,FALSE)</f>
        <v>SERV0060</v>
      </c>
      <c r="N1041" t="s">
        <v>611</v>
      </c>
      <c r="P1041">
        <f>VLOOKUP(Tabla3[[#This Row],[FECHA]],TASA[],2,FALSE)</f>
        <v>367.31</v>
      </c>
      <c r="Q1041" s="4">
        <f t="shared" si="108"/>
        <v>-0.11810187579973321</v>
      </c>
      <c r="R1041" t="s">
        <v>1465</v>
      </c>
    </row>
    <row r="1042" spans="1:18" x14ac:dyDescent="0.25">
      <c r="A1042" s="33">
        <v>46052</v>
      </c>
      <c r="B1042" s="1">
        <v>187108</v>
      </c>
      <c r="C1042" s="2" t="s">
        <v>1414</v>
      </c>
      <c r="D1042" s="34">
        <v>-14459.6</v>
      </c>
      <c r="E1042" t="s">
        <v>20</v>
      </c>
      <c r="F1042" s="2" t="e">
        <f>VLOOKUP(Tabla3[[#This Row],[CONTABLE]],'SAPROV (2)'!L:M,2,FALSE)</f>
        <v>#N/A</v>
      </c>
      <c r="H1042" t="s">
        <v>1280</v>
      </c>
      <c r="I1042" s="2" t="str">
        <f>VLOOKUP(Tabla3[[#This Row],[Deposito]],'SAPROV (2)'!D:E,2,FALSE)</f>
        <v>01</v>
      </c>
      <c r="K1042" s="2" t="s">
        <v>101</v>
      </c>
      <c r="L1042" s="2" t="str">
        <f>VLOOKUP(Tabla3[[#This Row],[PROVEEDOR]],'SAPROV (2)'!A:B,2,FALSE)</f>
        <v>36</v>
      </c>
      <c r="M1042" t="str">
        <f>VLOOKUP(Tabla3[[#This Row],[SERVICIO]],'SAPROV (2)'!I:J,2,FALSE)</f>
        <v>SERV0011</v>
      </c>
      <c r="N1042" t="s">
        <v>927</v>
      </c>
      <c r="P1042">
        <f>VLOOKUP(Tabla3[[#This Row],[FECHA]],TASA[],2,FALSE)</f>
        <v>367.31</v>
      </c>
      <c r="Q1042" s="4">
        <f t="shared" si="108"/>
        <v>-39.366202934850669</v>
      </c>
      <c r="R1042" t="s">
        <v>1465</v>
      </c>
    </row>
    <row r="1043" spans="1:18" x14ac:dyDescent="0.25">
      <c r="A1043" s="33">
        <v>46052</v>
      </c>
      <c r="B1043" s="1">
        <v>187108</v>
      </c>
      <c r="C1043" s="2" t="s">
        <v>1377</v>
      </c>
      <c r="D1043" s="34">
        <v>-43.38</v>
      </c>
      <c r="E1043" t="s">
        <v>20</v>
      </c>
      <c r="F1043" s="2" t="e">
        <f>VLOOKUP(Tabla3[[#This Row],[CONTABLE]],'SAPROV (2)'!L:M,2,FALSE)</f>
        <v>#N/A</v>
      </c>
      <c r="H1043" t="s">
        <v>588</v>
      </c>
      <c r="I1043" s="2" t="str">
        <f>VLOOKUP(Tabla3[[#This Row],[Deposito]],'SAPROV (2)'!D:E,2,FALSE)</f>
        <v>A01</v>
      </c>
      <c r="K1043" s="23" t="s">
        <v>23</v>
      </c>
      <c r="L1043" s="23" t="str">
        <f>VLOOKUP(Tabla3[[#This Row],[PROVEEDOR]],'SAPROV (2)'!A:B,2,FALSE)</f>
        <v>04</v>
      </c>
      <c r="M1043" t="str">
        <f>VLOOKUP(Tabla3[[#This Row],[SERVICIO]],'SAPROV (2)'!I:J,2,FALSE)</f>
        <v>SERV0060</v>
      </c>
      <c r="N1043" t="s">
        <v>611</v>
      </c>
      <c r="P1043">
        <f>VLOOKUP(Tabla3[[#This Row],[FECHA]],TASA[],2,FALSE)</f>
        <v>367.31</v>
      </c>
      <c r="Q1043" s="4">
        <f t="shared" si="108"/>
        <v>-0.11810187579973321</v>
      </c>
      <c r="R1043" t="s">
        <v>1465</v>
      </c>
    </row>
    <row r="1044" spans="1:18" x14ac:dyDescent="0.25">
      <c r="A1044" s="33">
        <v>46052</v>
      </c>
      <c r="B1044" s="1">
        <v>187112</v>
      </c>
      <c r="C1044" s="2" t="s">
        <v>1414</v>
      </c>
      <c r="D1044" s="34">
        <v>-14459.6</v>
      </c>
      <c r="E1044" t="s">
        <v>20</v>
      </c>
      <c r="F1044" s="2" t="e">
        <f>VLOOKUP(Tabla3[[#This Row],[CONTABLE]],'SAPROV (2)'!L:M,2,FALSE)</f>
        <v>#N/A</v>
      </c>
      <c r="H1044" t="s">
        <v>1280</v>
      </c>
      <c r="I1044" s="2" t="str">
        <f>VLOOKUP(Tabla3[[#This Row],[Deposito]],'SAPROV (2)'!D:E,2,FALSE)</f>
        <v>01</v>
      </c>
      <c r="K1044" s="2" t="s">
        <v>101</v>
      </c>
      <c r="L1044" s="23" t="str">
        <f>VLOOKUP(Tabla3[[#This Row],[PROVEEDOR]],'SAPROV (2)'!A:B,2,FALSE)</f>
        <v>36</v>
      </c>
      <c r="M1044" t="str">
        <f>VLOOKUP(Tabla3[[#This Row],[SERVICIO]],'SAPROV (2)'!I:J,2,FALSE)</f>
        <v>SERV0011</v>
      </c>
      <c r="N1044" t="s">
        <v>927</v>
      </c>
      <c r="P1044">
        <f>VLOOKUP(Tabla3[[#This Row],[FECHA]],TASA[],2,FALSE)</f>
        <v>367.31</v>
      </c>
      <c r="Q1044" s="4">
        <f t="shared" si="108"/>
        <v>-39.366202934850669</v>
      </c>
      <c r="R1044" t="s">
        <v>1465</v>
      </c>
    </row>
    <row r="1045" spans="1:18" x14ac:dyDescent="0.25">
      <c r="A1045" s="33">
        <v>46052</v>
      </c>
      <c r="B1045" s="1">
        <v>187112</v>
      </c>
      <c r="C1045" s="2" t="s">
        <v>1379</v>
      </c>
      <c r="D1045" s="34">
        <v>-43.38</v>
      </c>
      <c r="E1045" t="s">
        <v>20</v>
      </c>
      <c r="F1045" s="2" t="e">
        <f>VLOOKUP(Tabla3[[#This Row],[CONTABLE]],'SAPROV (2)'!L:M,2,FALSE)</f>
        <v>#N/A</v>
      </c>
      <c r="H1045" t="s">
        <v>588</v>
      </c>
      <c r="I1045" s="2" t="str">
        <f>VLOOKUP(Tabla3[[#This Row],[Deposito]],'SAPROV (2)'!D:E,2,FALSE)</f>
        <v>A01</v>
      </c>
      <c r="K1045" s="23" t="s">
        <v>23</v>
      </c>
      <c r="L1045" s="2" t="str">
        <f>VLOOKUP(Tabla3[[#This Row],[PROVEEDOR]],'SAPROV (2)'!A:B,2,FALSE)</f>
        <v>04</v>
      </c>
      <c r="M1045" t="str">
        <f>VLOOKUP(Tabla3[[#This Row],[SERVICIO]],'SAPROV (2)'!I:J,2,FALSE)</f>
        <v>SERV0060</v>
      </c>
      <c r="N1045" t="s">
        <v>611</v>
      </c>
      <c r="P1045">
        <f>VLOOKUP(Tabla3[[#This Row],[FECHA]],TASA[],2,FALSE)</f>
        <v>367.31</v>
      </c>
      <c r="Q1045" s="4">
        <f t="shared" si="108"/>
        <v>-0.11810187579973321</v>
      </c>
      <c r="R1045" t="s">
        <v>1465</v>
      </c>
    </row>
    <row r="1046" spans="1:18" x14ac:dyDescent="0.25">
      <c r="A1046" s="33">
        <v>46052</v>
      </c>
      <c r="B1046" s="1">
        <v>187117</v>
      </c>
      <c r="C1046" s="2" t="s">
        <v>1414</v>
      </c>
      <c r="D1046" s="34">
        <v>-7710.58</v>
      </c>
      <c r="E1046" t="s">
        <v>20</v>
      </c>
      <c r="F1046" s="2" t="e">
        <f>VLOOKUP(Tabla3[[#This Row],[CONTABLE]],'SAPROV (2)'!L:M,2,FALSE)</f>
        <v>#N/A</v>
      </c>
      <c r="H1046" t="s">
        <v>1280</v>
      </c>
      <c r="I1046" s="2" t="str">
        <f>VLOOKUP(Tabla3[[#This Row],[Deposito]],'SAPROV (2)'!D:E,2,FALSE)</f>
        <v>01</v>
      </c>
      <c r="K1046" s="2" t="s">
        <v>101</v>
      </c>
      <c r="L1046" s="23" t="str">
        <f>VLOOKUP(Tabla3[[#This Row],[PROVEEDOR]],'SAPROV (2)'!A:B,2,FALSE)</f>
        <v>36</v>
      </c>
      <c r="M1046" t="str">
        <f>VLOOKUP(Tabla3[[#This Row],[SERVICIO]],'SAPROV (2)'!I:J,2,FALSE)</f>
        <v>SERV0011</v>
      </c>
      <c r="N1046" t="s">
        <v>927</v>
      </c>
      <c r="P1046">
        <f>VLOOKUP(Tabla3[[#This Row],[FECHA]],TASA[],2,FALSE)</f>
        <v>367.31</v>
      </c>
      <c r="Q1046" s="4">
        <f t="shared" si="108"/>
        <v>-20.992023086765947</v>
      </c>
      <c r="R1046" t="s">
        <v>1465</v>
      </c>
    </row>
    <row r="1047" spans="1:18" x14ac:dyDescent="0.25">
      <c r="A1047" s="33">
        <v>46052</v>
      </c>
      <c r="B1047" s="1">
        <v>187117</v>
      </c>
      <c r="C1047" s="2" t="s">
        <v>1381</v>
      </c>
      <c r="D1047" s="34">
        <v>-23.13</v>
      </c>
      <c r="E1047" t="s">
        <v>20</v>
      </c>
      <c r="F1047" s="2" t="e">
        <f>VLOOKUP(Tabla3[[#This Row],[CONTABLE]],'SAPROV (2)'!L:M,2,FALSE)</f>
        <v>#N/A</v>
      </c>
      <c r="H1047" t="s">
        <v>588</v>
      </c>
      <c r="I1047" s="2" t="str">
        <f>VLOOKUP(Tabla3[[#This Row],[Deposito]],'SAPROV (2)'!D:E,2,FALSE)</f>
        <v>A01</v>
      </c>
      <c r="K1047" s="23" t="s">
        <v>23</v>
      </c>
      <c r="L1047" s="23" t="str">
        <f>VLOOKUP(Tabla3[[#This Row],[PROVEEDOR]],'SAPROV (2)'!A:B,2,FALSE)</f>
        <v>04</v>
      </c>
      <c r="M1047" t="str">
        <f>VLOOKUP(Tabla3[[#This Row],[SERVICIO]],'SAPROV (2)'!I:J,2,FALSE)</f>
        <v>SERV0060</v>
      </c>
      <c r="N1047" t="s">
        <v>611</v>
      </c>
      <c r="P1047">
        <f>VLOOKUP(Tabla3[[#This Row],[FECHA]],TASA[],2,FALSE)</f>
        <v>367.31</v>
      </c>
      <c r="Q1047" s="4">
        <f t="shared" si="108"/>
        <v>-6.2971332117285117E-2</v>
      </c>
      <c r="R1047" t="s">
        <v>1465</v>
      </c>
    </row>
    <row r="1048" spans="1:18" x14ac:dyDescent="0.25">
      <c r="A1048" s="33">
        <v>46052</v>
      </c>
      <c r="B1048" s="1">
        <v>187120</v>
      </c>
      <c r="C1048" s="2" t="s">
        <v>1414</v>
      </c>
      <c r="D1048" s="34">
        <v>-14459.6</v>
      </c>
      <c r="E1048" t="s">
        <v>20</v>
      </c>
      <c r="F1048" s="2" t="e">
        <f>VLOOKUP(Tabla3[[#This Row],[CONTABLE]],'SAPROV (2)'!L:M,2,FALSE)</f>
        <v>#N/A</v>
      </c>
      <c r="H1048" t="s">
        <v>1280</v>
      </c>
      <c r="I1048" s="2" t="str">
        <f>VLOOKUP(Tabla3[[#This Row],[Deposito]],'SAPROV (2)'!D:E,2,FALSE)</f>
        <v>01</v>
      </c>
      <c r="K1048" s="2" t="s">
        <v>101</v>
      </c>
      <c r="L1048" s="2" t="str">
        <f>VLOOKUP(Tabla3[[#This Row],[PROVEEDOR]],'SAPROV (2)'!A:B,2,FALSE)</f>
        <v>36</v>
      </c>
      <c r="M1048" t="str">
        <f>VLOOKUP(Tabla3[[#This Row],[SERVICIO]],'SAPROV (2)'!I:J,2,FALSE)</f>
        <v>SERV0011</v>
      </c>
      <c r="N1048" t="s">
        <v>927</v>
      </c>
      <c r="P1048">
        <f>VLOOKUP(Tabla3[[#This Row],[FECHA]],TASA[],2,FALSE)</f>
        <v>367.31</v>
      </c>
      <c r="Q1048" s="4">
        <f t="shared" si="108"/>
        <v>-39.366202934850669</v>
      </c>
      <c r="R1048" t="s">
        <v>1465</v>
      </c>
    </row>
    <row r="1049" spans="1:18" x14ac:dyDescent="0.25">
      <c r="A1049" s="33">
        <v>46052</v>
      </c>
      <c r="B1049" s="1">
        <v>187120</v>
      </c>
      <c r="C1049" s="2" t="s">
        <v>1383</v>
      </c>
      <c r="D1049" s="34">
        <v>-43.38</v>
      </c>
      <c r="E1049" t="s">
        <v>20</v>
      </c>
      <c r="F1049" s="2" t="e">
        <f>VLOOKUP(Tabla3[[#This Row],[CONTABLE]],'SAPROV (2)'!L:M,2,FALSE)</f>
        <v>#N/A</v>
      </c>
      <c r="H1049" t="s">
        <v>588</v>
      </c>
      <c r="I1049" s="2" t="str">
        <f>VLOOKUP(Tabla3[[#This Row],[Deposito]],'SAPROV (2)'!D:E,2,FALSE)</f>
        <v>A01</v>
      </c>
      <c r="K1049" s="23" t="s">
        <v>23</v>
      </c>
      <c r="L1049" s="23" t="str">
        <f>VLOOKUP(Tabla3[[#This Row],[PROVEEDOR]],'SAPROV (2)'!A:B,2,FALSE)</f>
        <v>04</v>
      </c>
      <c r="M1049" t="str">
        <f>VLOOKUP(Tabla3[[#This Row],[SERVICIO]],'SAPROV (2)'!I:J,2,FALSE)</f>
        <v>SERV0060</v>
      </c>
      <c r="N1049" t="s">
        <v>611</v>
      </c>
      <c r="P1049">
        <f>VLOOKUP(Tabla3[[#This Row],[FECHA]],TASA[],2,FALSE)</f>
        <v>367.31</v>
      </c>
      <c r="Q1049" s="4">
        <f t="shared" si="108"/>
        <v>-0.11810187579973321</v>
      </c>
      <c r="R1049" t="s">
        <v>1465</v>
      </c>
    </row>
    <row r="1050" spans="1:18" x14ac:dyDescent="0.25">
      <c r="A1050" s="33">
        <v>46052</v>
      </c>
      <c r="B1050" s="1">
        <v>187122</v>
      </c>
      <c r="C1050" s="2" t="s">
        <v>1414</v>
      </c>
      <c r="D1050" s="34">
        <v>-14459.6</v>
      </c>
      <c r="E1050" t="s">
        <v>20</v>
      </c>
      <c r="F1050" s="2" t="e">
        <f>VLOOKUP(Tabla3[[#This Row],[CONTABLE]],'SAPROV (2)'!L:M,2,FALSE)</f>
        <v>#N/A</v>
      </c>
      <c r="H1050" t="s">
        <v>1280</v>
      </c>
      <c r="I1050" s="2" t="str">
        <f>VLOOKUP(Tabla3[[#This Row],[Deposito]],'SAPROV (2)'!D:E,2,FALSE)</f>
        <v>01</v>
      </c>
      <c r="K1050" s="2" t="s">
        <v>101</v>
      </c>
      <c r="L1050" s="23" t="str">
        <f>VLOOKUP(Tabla3[[#This Row],[PROVEEDOR]],'SAPROV (2)'!A:B,2,FALSE)</f>
        <v>36</v>
      </c>
      <c r="M1050" t="str">
        <f>VLOOKUP(Tabla3[[#This Row],[SERVICIO]],'SAPROV (2)'!I:J,2,FALSE)</f>
        <v>SERV0011</v>
      </c>
      <c r="N1050" t="s">
        <v>927</v>
      </c>
      <c r="P1050">
        <f>VLOOKUP(Tabla3[[#This Row],[FECHA]],TASA[],2,FALSE)</f>
        <v>367.31</v>
      </c>
      <c r="Q1050" s="4">
        <f t="shared" si="108"/>
        <v>-39.366202934850669</v>
      </c>
      <c r="R1050" t="s">
        <v>1465</v>
      </c>
    </row>
    <row r="1051" spans="1:18" x14ac:dyDescent="0.25">
      <c r="A1051" s="33">
        <v>46052</v>
      </c>
      <c r="B1051" s="1">
        <v>187122</v>
      </c>
      <c r="C1051" s="2" t="s">
        <v>1385</v>
      </c>
      <c r="D1051" s="34">
        <v>-43.38</v>
      </c>
      <c r="E1051" t="s">
        <v>20</v>
      </c>
      <c r="F1051" s="2" t="e">
        <f>VLOOKUP(Tabla3[[#This Row],[CONTABLE]],'SAPROV (2)'!L:M,2,FALSE)</f>
        <v>#N/A</v>
      </c>
      <c r="H1051" t="s">
        <v>588</v>
      </c>
      <c r="I1051" s="2" t="str">
        <f>VLOOKUP(Tabla3[[#This Row],[Deposito]],'SAPROV (2)'!D:E,2,FALSE)</f>
        <v>A01</v>
      </c>
      <c r="K1051" s="23" t="s">
        <v>23</v>
      </c>
      <c r="L1051" s="2" t="str">
        <f>VLOOKUP(Tabla3[[#This Row],[PROVEEDOR]],'SAPROV (2)'!A:B,2,FALSE)</f>
        <v>04</v>
      </c>
      <c r="M1051" t="str">
        <f>VLOOKUP(Tabla3[[#This Row],[SERVICIO]],'SAPROV (2)'!I:J,2,FALSE)</f>
        <v>SERV0060</v>
      </c>
      <c r="N1051" t="s">
        <v>611</v>
      </c>
      <c r="P1051">
        <f>VLOOKUP(Tabla3[[#This Row],[FECHA]],TASA[],2,FALSE)</f>
        <v>367.31</v>
      </c>
      <c r="Q1051" s="4">
        <f t="shared" si="108"/>
        <v>-0.11810187579973321</v>
      </c>
      <c r="R1051" t="s">
        <v>1465</v>
      </c>
    </row>
    <row r="1052" spans="1:18" x14ac:dyDescent="0.25">
      <c r="A1052" s="33">
        <v>46052</v>
      </c>
      <c r="B1052" s="1">
        <v>187129</v>
      </c>
      <c r="C1052" s="2" t="s">
        <v>1415</v>
      </c>
      <c r="D1052" s="34">
        <v>-90372.5</v>
      </c>
      <c r="E1052" t="s">
        <v>20</v>
      </c>
      <c r="F1052" s="2" t="e">
        <f>VLOOKUP(Tabla3[[#This Row],[CONTABLE]],'SAPROV (2)'!L:M,2,FALSE)</f>
        <v>#N/A</v>
      </c>
      <c r="H1052" t="s">
        <v>588</v>
      </c>
      <c r="I1052" s="2" t="str">
        <f>VLOOKUP(Tabla3[[#This Row],[Deposito]],'SAPROV (2)'!D:E,2,FALSE)</f>
        <v>A01</v>
      </c>
      <c r="K1052" s="2" t="s">
        <v>101</v>
      </c>
      <c r="L1052" s="23" t="str">
        <f>VLOOKUP(Tabla3[[#This Row],[PROVEEDOR]],'SAPROV (2)'!A:B,2,FALSE)</f>
        <v>36</v>
      </c>
      <c r="M1052" t="str">
        <f>VLOOKUP(Tabla3[[#This Row],[SERVICIO]],'SAPROV (2)'!I:J,2,FALSE)</f>
        <v>SERV0011</v>
      </c>
      <c r="N1052" t="s">
        <v>927</v>
      </c>
      <c r="P1052">
        <f>VLOOKUP(Tabla3[[#This Row],[FECHA]],TASA[],2,FALSE)</f>
        <v>367.31</v>
      </c>
      <c r="Q1052" s="4">
        <f t="shared" si="108"/>
        <v>-246.0387683428167</v>
      </c>
      <c r="R1052" t="s">
        <v>1465</v>
      </c>
    </row>
    <row r="1053" spans="1:18" x14ac:dyDescent="0.25">
      <c r="A1053" s="33">
        <v>46052</v>
      </c>
      <c r="B1053" s="1">
        <v>187129</v>
      </c>
      <c r="C1053" s="2" t="s">
        <v>1387</v>
      </c>
      <c r="D1053" s="34">
        <v>-271.12</v>
      </c>
      <c r="E1053" t="s">
        <v>20</v>
      </c>
      <c r="F1053" s="2" t="e">
        <f>VLOOKUP(Tabla3[[#This Row],[CONTABLE]],'SAPROV (2)'!L:M,2,FALSE)</f>
        <v>#N/A</v>
      </c>
      <c r="H1053" t="s">
        <v>588</v>
      </c>
      <c r="I1053" s="2" t="str">
        <f>VLOOKUP(Tabla3[[#This Row],[Deposito]],'SAPROV (2)'!D:E,2,FALSE)</f>
        <v>A01</v>
      </c>
      <c r="K1053" s="23" t="s">
        <v>23</v>
      </c>
      <c r="L1053" s="23" t="str">
        <f>VLOOKUP(Tabla3[[#This Row],[PROVEEDOR]],'SAPROV (2)'!A:B,2,FALSE)</f>
        <v>04</v>
      </c>
      <c r="M1053" t="str">
        <f>VLOOKUP(Tabla3[[#This Row],[SERVICIO]],'SAPROV (2)'!I:J,2,FALSE)</f>
        <v>SERV0060</v>
      </c>
      <c r="N1053" t="s">
        <v>611</v>
      </c>
      <c r="P1053">
        <f>VLOOKUP(Tabla3[[#This Row],[FECHA]],TASA[],2,FALSE)</f>
        <v>367.31</v>
      </c>
      <c r="Q1053" s="4">
        <f t="shared" si="108"/>
        <v>-0.7381231112684109</v>
      </c>
      <c r="R1053" t="s">
        <v>1465</v>
      </c>
    </row>
    <row r="1054" spans="1:18" x14ac:dyDescent="0.25">
      <c r="A1054" s="33">
        <v>46052</v>
      </c>
      <c r="B1054" s="1">
        <v>187134</v>
      </c>
      <c r="C1054" s="2" t="s">
        <v>1416</v>
      </c>
      <c r="D1054" s="34">
        <v>-54223.5</v>
      </c>
      <c r="E1054" t="s">
        <v>20</v>
      </c>
      <c r="F1054" s="2" t="e">
        <f>VLOOKUP(Tabla3[[#This Row],[CONTABLE]],'SAPROV (2)'!L:M,2,FALSE)</f>
        <v>#N/A</v>
      </c>
      <c r="H1054" t="s">
        <v>588</v>
      </c>
      <c r="I1054" s="2" t="str">
        <f>VLOOKUP(Tabla3[[#This Row],[Deposito]],'SAPROV (2)'!D:E,2,FALSE)</f>
        <v>A01</v>
      </c>
      <c r="K1054" s="2" t="s">
        <v>101</v>
      </c>
      <c r="L1054" s="2" t="str">
        <f>VLOOKUP(Tabla3[[#This Row],[PROVEEDOR]],'SAPROV (2)'!A:B,2,FALSE)</f>
        <v>36</v>
      </c>
      <c r="M1054" t="str">
        <f>VLOOKUP(Tabla3[[#This Row],[SERVICIO]],'SAPROV (2)'!I:J,2,FALSE)</f>
        <v>SERV0011</v>
      </c>
      <c r="N1054" t="s">
        <v>927</v>
      </c>
      <c r="P1054">
        <f>VLOOKUP(Tabla3[[#This Row],[FECHA]],TASA[],2,FALSE)</f>
        <v>367.31</v>
      </c>
      <c r="Q1054" s="4">
        <f t="shared" si="108"/>
        <v>-147.62326100569001</v>
      </c>
      <c r="R1054" t="s">
        <v>1465</v>
      </c>
    </row>
    <row r="1055" spans="1:18" x14ac:dyDescent="0.25">
      <c r="A1055" s="33">
        <v>46052</v>
      </c>
      <c r="B1055" s="1">
        <v>187134</v>
      </c>
      <c r="C1055" s="2" t="s">
        <v>1389</v>
      </c>
      <c r="D1055" s="34">
        <v>-162.66999999999999</v>
      </c>
      <c r="E1055" t="s">
        <v>20</v>
      </c>
      <c r="F1055" s="2" t="e">
        <f>VLOOKUP(Tabla3[[#This Row],[CONTABLE]],'SAPROV (2)'!L:M,2,FALSE)</f>
        <v>#N/A</v>
      </c>
      <c r="H1055" t="s">
        <v>588</v>
      </c>
      <c r="I1055" s="2" t="str">
        <f>VLOOKUP(Tabla3[[#This Row],[Deposito]],'SAPROV (2)'!D:E,2,FALSE)</f>
        <v>A01</v>
      </c>
      <c r="K1055" s="23" t="s">
        <v>23</v>
      </c>
      <c r="L1055" s="23" t="str">
        <f>VLOOKUP(Tabla3[[#This Row],[PROVEEDOR]],'SAPROV (2)'!A:B,2,FALSE)</f>
        <v>04</v>
      </c>
      <c r="M1055" t="str">
        <f>VLOOKUP(Tabla3[[#This Row],[SERVICIO]],'SAPROV (2)'!I:J,2,FALSE)</f>
        <v>SERV0060</v>
      </c>
      <c r="N1055" t="s">
        <v>611</v>
      </c>
      <c r="P1055">
        <f>VLOOKUP(Tabla3[[#This Row],[FECHA]],TASA[],2,FALSE)</f>
        <v>367.31</v>
      </c>
      <c r="Q1055" s="4">
        <f t="shared" si="108"/>
        <v>-0.44286842176907787</v>
      </c>
      <c r="R1055" t="s">
        <v>1465</v>
      </c>
    </row>
    <row r="1056" spans="1:18" x14ac:dyDescent="0.25">
      <c r="A1056" s="33">
        <v>46052</v>
      </c>
      <c r="B1056" s="1">
        <v>187137</v>
      </c>
      <c r="C1056" s="2" t="s">
        <v>1417</v>
      </c>
      <c r="D1056" s="34">
        <v>-86757.6</v>
      </c>
      <c r="E1056" t="s">
        <v>20</v>
      </c>
      <c r="F1056" s="2" t="e">
        <f>VLOOKUP(Tabla3[[#This Row],[CONTABLE]],'SAPROV (2)'!L:M,2,FALSE)</f>
        <v>#N/A</v>
      </c>
      <c r="H1056" t="s">
        <v>1281</v>
      </c>
      <c r="I1056" s="2" t="str">
        <f>VLOOKUP(Tabla3[[#This Row],[Deposito]],'SAPROV (2)'!D:E,2,FALSE)</f>
        <v>07</v>
      </c>
      <c r="K1056" s="2" t="s">
        <v>101</v>
      </c>
      <c r="L1056" s="23" t="str">
        <f>VLOOKUP(Tabla3[[#This Row],[PROVEEDOR]],'SAPROV (2)'!A:B,2,FALSE)</f>
        <v>36</v>
      </c>
      <c r="M1056" t="str">
        <f>VLOOKUP(Tabla3[[#This Row],[SERVICIO]],'SAPROV (2)'!I:J,2,FALSE)</f>
        <v>SERV0011</v>
      </c>
      <c r="N1056" t="s">
        <v>927</v>
      </c>
      <c r="P1056">
        <f>VLOOKUP(Tabla3[[#This Row],[FECHA]],TASA[],2,FALSE)</f>
        <v>367.31</v>
      </c>
      <c r="Q1056" s="4">
        <f t="shared" si="108"/>
        <v>-236.19721760910403</v>
      </c>
      <c r="R1056" t="s">
        <v>1465</v>
      </c>
    </row>
    <row r="1057" spans="1:18" x14ac:dyDescent="0.25">
      <c r="A1057" s="33">
        <v>46052</v>
      </c>
      <c r="B1057" s="1">
        <v>187137</v>
      </c>
      <c r="C1057" s="2" t="s">
        <v>1334</v>
      </c>
      <c r="D1057" s="34">
        <v>-260.27</v>
      </c>
      <c r="E1057" t="s">
        <v>20</v>
      </c>
      <c r="F1057" s="2" t="e">
        <f>VLOOKUP(Tabla3[[#This Row],[CONTABLE]],'SAPROV (2)'!L:M,2,FALSE)</f>
        <v>#N/A</v>
      </c>
      <c r="H1057" t="s">
        <v>588</v>
      </c>
      <c r="I1057" s="2" t="str">
        <f>VLOOKUP(Tabla3[[#This Row],[Deposito]],'SAPROV (2)'!D:E,2,FALSE)</f>
        <v>A01</v>
      </c>
      <c r="K1057" s="23" t="s">
        <v>23</v>
      </c>
      <c r="L1057" s="2" t="str">
        <f>VLOOKUP(Tabla3[[#This Row],[PROVEEDOR]],'SAPROV (2)'!A:B,2,FALSE)</f>
        <v>04</v>
      </c>
      <c r="M1057" t="str">
        <f>VLOOKUP(Tabla3[[#This Row],[SERVICIO]],'SAPROV (2)'!I:J,2,FALSE)</f>
        <v>SERV0060</v>
      </c>
      <c r="N1057" t="s">
        <v>611</v>
      </c>
      <c r="P1057">
        <f>VLOOKUP(Tabla3[[#This Row],[FECHA]],TASA[],2,FALSE)</f>
        <v>367.31</v>
      </c>
      <c r="Q1057" s="4">
        <f t="shared" si="108"/>
        <v>-0.70858402983855595</v>
      </c>
      <c r="R1057" t="s">
        <v>1465</v>
      </c>
    </row>
    <row r="1058" spans="1:18" x14ac:dyDescent="0.25">
      <c r="A1058" s="33">
        <v>46052</v>
      </c>
      <c r="B1058" s="1">
        <v>187141</v>
      </c>
      <c r="C1058" s="2" t="s">
        <v>1418</v>
      </c>
      <c r="D1058" s="34">
        <v>-28919.200000000001</v>
      </c>
      <c r="E1058" t="s">
        <v>20</v>
      </c>
      <c r="F1058" s="2" t="e">
        <f>VLOOKUP(Tabla3[[#This Row],[CONTABLE]],'SAPROV (2)'!L:M,2,FALSE)</f>
        <v>#N/A</v>
      </c>
      <c r="H1058" t="s">
        <v>1281</v>
      </c>
      <c r="I1058" s="2" t="str">
        <f>VLOOKUP(Tabla3[[#This Row],[Deposito]],'SAPROV (2)'!D:E,2,FALSE)</f>
        <v>07</v>
      </c>
      <c r="K1058" s="2" t="s">
        <v>101</v>
      </c>
      <c r="L1058" s="23" t="str">
        <f>VLOOKUP(Tabla3[[#This Row],[PROVEEDOR]],'SAPROV (2)'!A:B,2,FALSE)</f>
        <v>36</v>
      </c>
      <c r="M1058" t="str">
        <f>VLOOKUP(Tabla3[[#This Row],[SERVICIO]],'SAPROV (2)'!I:J,2,FALSE)</f>
        <v>SERV0011</v>
      </c>
      <c r="N1058" t="s">
        <v>927</v>
      </c>
      <c r="P1058">
        <f>VLOOKUP(Tabla3[[#This Row],[FECHA]],TASA[],2,FALSE)</f>
        <v>367.31</v>
      </c>
      <c r="Q1058" s="4">
        <f t="shared" si="108"/>
        <v>-78.732405869701338</v>
      </c>
      <c r="R1058" t="s">
        <v>1465</v>
      </c>
    </row>
    <row r="1059" spans="1:18" x14ac:dyDescent="0.25">
      <c r="A1059" s="33">
        <v>46052</v>
      </c>
      <c r="B1059" s="1">
        <v>187141</v>
      </c>
      <c r="C1059" s="2" t="s">
        <v>1340</v>
      </c>
      <c r="D1059" s="34">
        <v>-86.76</v>
      </c>
      <c r="E1059" t="s">
        <v>20</v>
      </c>
      <c r="F1059" s="2" t="e">
        <f>VLOOKUP(Tabla3[[#This Row],[CONTABLE]],'SAPROV (2)'!L:M,2,FALSE)</f>
        <v>#N/A</v>
      </c>
      <c r="H1059" t="s">
        <v>588</v>
      </c>
      <c r="I1059" s="2" t="str">
        <f>VLOOKUP(Tabla3[[#This Row],[Deposito]],'SAPROV (2)'!D:E,2,FALSE)</f>
        <v>A01</v>
      </c>
      <c r="K1059" s="23" t="s">
        <v>23</v>
      </c>
      <c r="L1059" s="23" t="str">
        <f>VLOOKUP(Tabla3[[#This Row],[PROVEEDOR]],'SAPROV (2)'!A:B,2,FALSE)</f>
        <v>04</v>
      </c>
      <c r="M1059" t="str">
        <f>VLOOKUP(Tabla3[[#This Row],[SERVICIO]],'SAPROV (2)'!I:J,2,FALSE)</f>
        <v>SERV0060</v>
      </c>
      <c r="N1059" t="s">
        <v>611</v>
      </c>
      <c r="P1059">
        <f>VLOOKUP(Tabla3[[#This Row],[FECHA]],TASA[],2,FALSE)</f>
        <v>367.31</v>
      </c>
      <c r="Q1059" s="4">
        <f t="shared" si="108"/>
        <v>-0.23620375159946641</v>
      </c>
      <c r="R1059" t="s">
        <v>1465</v>
      </c>
    </row>
    <row r="1060" spans="1:18" x14ac:dyDescent="0.25">
      <c r="A1060" s="33">
        <v>46052</v>
      </c>
      <c r="B1060" s="1">
        <v>187145</v>
      </c>
      <c r="C1060" s="2" t="s">
        <v>1419</v>
      </c>
      <c r="D1060" s="34">
        <v>-72298</v>
      </c>
      <c r="E1060" t="s">
        <v>20</v>
      </c>
      <c r="F1060" s="2" t="e">
        <f>VLOOKUP(Tabla3[[#This Row],[CONTABLE]],'SAPROV (2)'!L:M,2,FALSE)</f>
        <v>#N/A</v>
      </c>
      <c r="H1060" t="s">
        <v>1281</v>
      </c>
      <c r="I1060" s="2" t="str">
        <f>VLOOKUP(Tabla3[[#This Row],[Deposito]],'SAPROV (2)'!D:E,2,FALSE)</f>
        <v>07</v>
      </c>
      <c r="K1060" s="2" t="s">
        <v>101</v>
      </c>
      <c r="L1060" s="2" t="str">
        <f>VLOOKUP(Tabla3[[#This Row],[PROVEEDOR]],'SAPROV (2)'!A:B,2,FALSE)</f>
        <v>36</v>
      </c>
      <c r="M1060" t="str">
        <f>VLOOKUP(Tabla3[[#This Row],[SERVICIO]],'SAPROV (2)'!I:J,2,FALSE)</f>
        <v>SERV0011</v>
      </c>
      <c r="N1060" t="s">
        <v>927</v>
      </c>
      <c r="P1060">
        <f>VLOOKUP(Tabla3[[#This Row],[FECHA]],TASA[],2,FALSE)</f>
        <v>367.31</v>
      </c>
      <c r="Q1060" s="4">
        <f t="shared" si="108"/>
        <v>-196.83101467425337</v>
      </c>
      <c r="R1060" t="s">
        <v>1465</v>
      </c>
    </row>
    <row r="1061" spans="1:18" x14ac:dyDescent="0.25">
      <c r="A1061" s="33">
        <v>46052</v>
      </c>
      <c r="B1061" s="1">
        <v>187145</v>
      </c>
      <c r="C1061" s="2" t="s">
        <v>1342</v>
      </c>
      <c r="D1061" s="34">
        <v>-216.89</v>
      </c>
      <c r="E1061" t="s">
        <v>20</v>
      </c>
      <c r="F1061" s="2" t="e">
        <f>VLOOKUP(Tabla3[[#This Row],[CONTABLE]],'SAPROV (2)'!L:M,2,FALSE)</f>
        <v>#N/A</v>
      </c>
      <c r="H1061" t="s">
        <v>588</v>
      </c>
      <c r="I1061" s="2" t="str">
        <f>VLOOKUP(Tabla3[[#This Row],[Deposito]],'SAPROV (2)'!D:E,2,FALSE)</f>
        <v>A01</v>
      </c>
      <c r="K1061" s="23" t="s">
        <v>23</v>
      </c>
      <c r="L1061" s="23" t="str">
        <f>VLOOKUP(Tabla3[[#This Row],[PROVEEDOR]],'SAPROV (2)'!A:B,2,FALSE)</f>
        <v>04</v>
      </c>
      <c r="M1061" t="str">
        <f>VLOOKUP(Tabla3[[#This Row],[SERVICIO]],'SAPROV (2)'!I:J,2,FALSE)</f>
        <v>SERV0060</v>
      </c>
      <c r="N1061" t="s">
        <v>611</v>
      </c>
      <c r="P1061">
        <f>VLOOKUP(Tabla3[[#This Row],[FECHA]],TASA[],2,FALSE)</f>
        <v>367.31</v>
      </c>
      <c r="Q1061" s="4">
        <f t="shared" si="108"/>
        <v>-0.59048215403882276</v>
      </c>
      <c r="R1061" t="s">
        <v>1465</v>
      </c>
    </row>
    <row r="1062" spans="1:18" x14ac:dyDescent="0.25">
      <c r="A1062" s="33">
        <v>46052</v>
      </c>
      <c r="B1062" s="1">
        <v>187149</v>
      </c>
      <c r="C1062" s="2" t="s">
        <v>1420</v>
      </c>
      <c r="D1062" s="34">
        <v>-36149</v>
      </c>
      <c r="E1062" t="s">
        <v>20</v>
      </c>
      <c r="F1062" s="2" t="e">
        <f>VLOOKUP(Tabla3[[#This Row],[CONTABLE]],'SAPROV (2)'!L:M,2,FALSE)</f>
        <v>#N/A</v>
      </c>
      <c r="H1062" t="s">
        <v>1281</v>
      </c>
      <c r="I1062" s="2" t="str">
        <f>VLOOKUP(Tabla3[[#This Row],[Deposito]],'SAPROV (2)'!D:E,2,FALSE)</f>
        <v>07</v>
      </c>
      <c r="K1062" s="2" t="s">
        <v>101</v>
      </c>
      <c r="L1062" s="23" t="str">
        <f>VLOOKUP(Tabla3[[#This Row],[PROVEEDOR]],'SAPROV (2)'!A:B,2,FALSE)</f>
        <v>36</v>
      </c>
      <c r="M1062" t="str">
        <f>VLOOKUP(Tabla3[[#This Row],[SERVICIO]],'SAPROV (2)'!I:J,2,FALSE)</f>
        <v>SERV0011</v>
      </c>
      <c r="N1062" t="s">
        <v>927</v>
      </c>
      <c r="P1062">
        <f>VLOOKUP(Tabla3[[#This Row],[FECHA]],TASA[],2,FALSE)</f>
        <v>367.31</v>
      </c>
      <c r="Q1062" s="4">
        <f t="shared" si="108"/>
        <v>-98.415507337126684</v>
      </c>
      <c r="R1062" t="s">
        <v>1465</v>
      </c>
    </row>
    <row r="1063" spans="1:18" x14ac:dyDescent="0.25">
      <c r="A1063" s="33">
        <v>46052</v>
      </c>
      <c r="B1063" s="1">
        <v>187149</v>
      </c>
      <c r="C1063" s="2" t="s">
        <v>1363</v>
      </c>
      <c r="D1063" s="34">
        <v>-108.45</v>
      </c>
      <c r="E1063" t="s">
        <v>20</v>
      </c>
      <c r="F1063" s="2" t="e">
        <f>VLOOKUP(Tabla3[[#This Row],[CONTABLE]],'SAPROV (2)'!L:M,2,FALSE)</f>
        <v>#N/A</v>
      </c>
      <c r="H1063" t="s">
        <v>588</v>
      </c>
      <c r="I1063" s="2" t="str">
        <f>VLOOKUP(Tabla3[[#This Row],[Deposito]],'SAPROV (2)'!D:E,2,FALSE)</f>
        <v>A01</v>
      </c>
      <c r="K1063" s="23" t="s">
        <v>23</v>
      </c>
      <c r="L1063" s="2" t="str">
        <f>VLOOKUP(Tabla3[[#This Row],[PROVEEDOR]],'SAPROV (2)'!A:B,2,FALSE)</f>
        <v>04</v>
      </c>
      <c r="M1063" t="str">
        <f>VLOOKUP(Tabla3[[#This Row],[SERVICIO]],'SAPROV (2)'!I:J,2,FALSE)</f>
        <v>SERV0060</v>
      </c>
      <c r="N1063" t="s">
        <v>611</v>
      </c>
      <c r="P1063">
        <f>VLOOKUP(Tabla3[[#This Row],[FECHA]],TASA[],2,FALSE)</f>
        <v>367.31</v>
      </c>
      <c r="Q1063" s="4">
        <f t="shared" si="108"/>
        <v>-0.29525468949933298</v>
      </c>
      <c r="R1063" t="s">
        <v>1465</v>
      </c>
    </row>
    <row r="1064" spans="1:18" x14ac:dyDescent="0.25">
      <c r="A1064" s="33">
        <v>46052</v>
      </c>
      <c r="B1064" s="1">
        <v>187151</v>
      </c>
      <c r="C1064" s="2" t="s">
        <v>1421</v>
      </c>
      <c r="D1064" s="34">
        <v>-3289.56</v>
      </c>
      <c r="E1064" t="s">
        <v>20</v>
      </c>
      <c r="F1064" s="2" t="e">
        <f>VLOOKUP(Tabla3[[#This Row],[CONTABLE]],'SAPROV (2)'!L:M,2,FALSE)</f>
        <v>#N/A</v>
      </c>
      <c r="H1064" t="s">
        <v>1278</v>
      </c>
      <c r="I1064" s="2" t="str">
        <f>VLOOKUP(Tabla3[[#This Row],[Deposito]],'SAPROV (2)'!D:E,2,FALSE)</f>
        <v>06</v>
      </c>
      <c r="K1064" s="2" t="s">
        <v>101</v>
      </c>
      <c r="L1064" s="23" t="str">
        <f>VLOOKUP(Tabla3[[#This Row],[PROVEEDOR]],'SAPROV (2)'!A:B,2,FALSE)</f>
        <v>36</v>
      </c>
      <c r="M1064" t="str">
        <f>VLOOKUP(Tabla3[[#This Row],[SERVICIO]],'SAPROV (2)'!I:J,2,FALSE)</f>
        <v>SERV0011</v>
      </c>
      <c r="N1064" t="s">
        <v>927</v>
      </c>
      <c r="P1064">
        <f>VLOOKUP(Tabla3[[#This Row],[FECHA]],TASA[],2,FALSE)</f>
        <v>367.31</v>
      </c>
      <c r="Q1064" s="4">
        <f t="shared" si="108"/>
        <v>-8.955813890174511</v>
      </c>
      <c r="R1064" t="s">
        <v>1465</v>
      </c>
    </row>
    <row r="1065" spans="1:18" x14ac:dyDescent="0.25">
      <c r="A1065" s="33">
        <v>46052</v>
      </c>
      <c r="B1065" s="1">
        <v>187151</v>
      </c>
      <c r="C1065" s="2" t="s">
        <v>1305</v>
      </c>
      <c r="D1065" s="34">
        <v>-9.8699999999999992</v>
      </c>
      <c r="E1065" t="s">
        <v>20</v>
      </c>
      <c r="F1065" s="2" t="e">
        <f>VLOOKUP(Tabla3[[#This Row],[CONTABLE]],'SAPROV (2)'!L:M,2,FALSE)</f>
        <v>#N/A</v>
      </c>
      <c r="H1065" t="s">
        <v>588</v>
      </c>
      <c r="I1065" s="2" t="str">
        <f>VLOOKUP(Tabla3[[#This Row],[Deposito]],'SAPROV (2)'!D:E,2,FALSE)</f>
        <v>A01</v>
      </c>
      <c r="K1065" s="23" t="s">
        <v>23</v>
      </c>
      <c r="L1065" s="23" t="str">
        <f>VLOOKUP(Tabla3[[#This Row],[PROVEEDOR]],'SAPROV (2)'!A:B,2,FALSE)</f>
        <v>04</v>
      </c>
      <c r="M1065" t="str">
        <f>VLOOKUP(Tabla3[[#This Row],[SERVICIO]],'SAPROV (2)'!I:J,2,FALSE)</f>
        <v>SERV0060</v>
      </c>
      <c r="N1065" t="s">
        <v>611</v>
      </c>
      <c r="P1065">
        <f>VLOOKUP(Tabla3[[#This Row],[FECHA]],TASA[],2,FALSE)</f>
        <v>367.31</v>
      </c>
      <c r="Q1065" s="4">
        <f t="shared" si="108"/>
        <v>-2.6871035365222833E-2</v>
      </c>
      <c r="R1065" t="s">
        <v>1465</v>
      </c>
    </row>
    <row r="1066" spans="1:18" x14ac:dyDescent="0.25">
      <c r="A1066" s="33">
        <v>46052</v>
      </c>
      <c r="B1066" s="1">
        <v>187158</v>
      </c>
      <c r="C1066" s="2" t="s">
        <v>1472</v>
      </c>
      <c r="D1066" s="34">
        <v>-16201.98</v>
      </c>
      <c r="E1066" t="s">
        <v>20</v>
      </c>
      <c r="F1066" s="2" t="e">
        <f>VLOOKUP(Tabla3[[#This Row],[CONTABLE]],'SAPROV (2)'!L:M,2,FALSE)</f>
        <v>#N/A</v>
      </c>
      <c r="H1066" t="s">
        <v>1280</v>
      </c>
      <c r="I1066" s="2" t="str">
        <f>VLOOKUP(Tabla3[[#This Row],[Deposito]],'SAPROV (2)'!D:E,2,FALSE)</f>
        <v>01</v>
      </c>
      <c r="K1066" s="2" t="s">
        <v>101</v>
      </c>
      <c r="L1066" s="2" t="str">
        <f>VLOOKUP(Tabla3[[#This Row],[PROVEEDOR]],'SAPROV (2)'!A:B,2,FALSE)</f>
        <v>36</v>
      </c>
      <c r="M1066" t="str">
        <f>VLOOKUP(Tabla3[[#This Row],[SERVICIO]],'SAPROV (2)'!I:J,2,FALSE)</f>
        <v>SERV0011</v>
      </c>
      <c r="N1066" t="s">
        <v>927</v>
      </c>
      <c r="P1066">
        <f>VLOOKUP(Tabla3[[#This Row],[FECHA]],TASA[],2,FALSE)</f>
        <v>367.31</v>
      </c>
      <c r="Q1066" s="4">
        <f t="shared" si="108"/>
        <v>-44.109825488007402</v>
      </c>
      <c r="R1066" t="s">
        <v>1465</v>
      </c>
    </row>
    <row r="1067" spans="1:18" x14ac:dyDescent="0.25">
      <c r="A1067" s="33">
        <v>46052</v>
      </c>
      <c r="B1067" s="1">
        <v>187158</v>
      </c>
      <c r="C1067" s="2" t="s">
        <v>1306</v>
      </c>
      <c r="D1067" s="34">
        <v>-48.61</v>
      </c>
      <c r="E1067" t="s">
        <v>20</v>
      </c>
      <c r="F1067" s="2" t="e">
        <f>VLOOKUP(Tabla3[[#This Row],[CONTABLE]],'SAPROV (2)'!L:M,2,FALSE)</f>
        <v>#N/A</v>
      </c>
      <c r="H1067" t="s">
        <v>588</v>
      </c>
      <c r="I1067" s="2" t="str">
        <f>VLOOKUP(Tabla3[[#This Row],[Deposito]],'SAPROV (2)'!D:E,2,FALSE)</f>
        <v>A01</v>
      </c>
      <c r="K1067" s="23" t="s">
        <v>23</v>
      </c>
      <c r="L1067" s="23" t="str">
        <f>VLOOKUP(Tabla3[[#This Row],[PROVEEDOR]],'SAPROV (2)'!A:B,2,FALSE)</f>
        <v>04</v>
      </c>
      <c r="M1067" t="str">
        <f>VLOOKUP(Tabla3[[#This Row],[SERVICIO]],'SAPROV (2)'!I:J,2,FALSE)</f>
        <v>SERV0060</v>
      </c>
      <c r="N1067" t="s">
        <v>611</v>
      </c>
      <c r="P1067">
        <f>VLOOKUP(Tabla3[[#This Row],[FECHA]],TASA[],2,FALSE)</f>
        <v>367.31</v>
      </c>
      <c r="Q1067" s="4">
        <f t="shared" si="108"/>
        <v>-0.13234052979771854</v>
      </c>
      <c r="R1067" t="s">
        <v>1465</v>
      </c>
    </row>
    <row r="1068" spans="1:18" x14ac:dyDescent="0.25">
      <c r="A1068" s="33">
        <v>46052</v>
      </c>
      <c r="B1068" s="1">
        <v>187160</v>
      </c>
      <c r="C1068" s="2" t="s">
        <v>1422</v>
      </c>
      <c r="D1068" s="34">
        <v>-13407.66</v>
      </c>
      <c r="E1068" t="s">
        <v>20</v>
      </c>
      <c r="F1068" s="2" t="e">
        <f>VLOOKUP(Tabla3[[#This Row],[CONTABLE]],'SAPROV (2)'!L:M,2,FALSE)</f>
        <v>#N/A</v>
      </c>
      <c r="H1068" t="s">
        <v>1278</v>
      </c>
      <c r="I1068" s="2" t="str">
        <f>VLOOKUP(Tabla3[[#This Row],[Deposito]],'SAPROV (2)'!D:E,2,FALSE)</f>
        <v>06</v>
      </c>
      <c r="K1068" s="2" t="s">
        <v>101</v>
      </c>
      <c r="L1068" s="23" t="str">
        <f>VLOOKUP(Tabla3[[#This Row],[PROVEEDOR]],'SAPROV (2)'!A:B,2,FALSE)</f>
        <v>36</v>
      </c>
      <c r="M1068" t="str">
        <f>VLOOKUP(Tabla3[[#This Row],[SERVICIO]],'SAPROV (2)'!I:J,2,FALSE)</f>
        <v>SERV0011</v>
      </c>
      <c r="N1068" t="s">
        <v>927</v>
      </c>
      <c r="P1068">
        <f>VLOOKUP(Tabla3[[#This Row],[FECHA]],TASA[],2,FALSE)</f>
        <v>367.31</v>
      </c>
      <c r="Q1068" s="4">
        <f t="shared" si="108"/>
        <v>-36.502300509106746</v>
      </c>
      <c r="R1068" t="s">
        <v>1465</v>
      </c>
    </row>
    <row r="1069" spans="1:18" x14ac:dyDescent="0.25">
      <c r="A1069" s="33">
        <v>46052</v>
      </c>
      <c r="B1069" s="1">
        <v>187160</v>
      </c>
      <c r="C1069" s="2" t="s">
        <v>1308</v>
      </c>
      <c r="D1069" s="34">
        <v>-40.22</v>
      </c>
      <c r="E1069" t="s">
        <v>20</v>
      </c>
      <c r="F1069" s="2" t="e">
        <f>VLOOKUP(Tabla3[[#This Row],[CONTABLE]],'SAPROV (2)'!L:M,2,FALSE)</f>
        <v>#N/A</v>
      </c>
      <c r="H1069" t="s">
        <v>588</v>
      </c>
      <c r="I1069" s="2" t="str">
        <f>VLOOKUP(Tabla3[[#This Row],[Deposito]],'SAPROV (2)'!D:E,2,FALSE)</f>
        <v>A01</v>
      </c>
      <c r="K1069" s="23" t="s">
        <v>23</v>
      </c>
      <c r="L1069" s="2" t="str">
        <f>VLOOKUP(Tabla3[[#This Row],[PROVEEDOR]],'SAPROV (2)'!A:B,2,FALSE)</f>
        <v>04</v>
      </c>
      <c r="M1069" t="str">
        <f>VLOOKUP(Tabla3[[#This Row],[SERVICIO]],'SAPROV (2)'!I:J,2,FALSE)</f>
        <v>SERV0060</v>
      </c>
      <c r="N1069" t="s">
        <v>611</v>
      </c>
      <c r="P1069">
        <f>VLOOKUP(Tabla3[[#This Row],[FECHA]],TASA[],2,FALSE)</f>
        <v>367.31</v>
      </c>
      <c r="Q1069" s="4">
        <f t="shared" si="108"/>
        <v>-0.10949878848928697</v>
      </c>
      <c r="R1069" t="s">
        <v>1465</v>
      </c>
    </row>
    <row r="1070" spans="1:18" x14ac:dyDescent="0.25">
      <c r="A1070" s="33">
        <v>46052</v>
      </c>
      <c r="B1070" s="1">
        <v>187162</v>
      </c>
      <c r="C1070" s="2" t="s">
        <v>1474</v>
      </c>
      <c r="D1070" s="34">
        <v>-32208.76</v>
      </c>
      <c r="E1070" t="s">
        <v>20</v>
      </c>
      <c r="F1070" s="2" t="e">
        <f>VLOOKUP(Tabla3[[#This Row],[CONTABLE]],'SAPROV (2)'!L:M,2,FALSE)</f>
        <v>#N/A</v>
      </c>
      <c r="H1070" t="s">
        <v>1274</v>
      </c>
      <c r="I1070" s="2" t="str">
        <f>VLOOKUP(Tabla3[[#This Row],[Deposito]],'SAPROV (2)'!D:E,2,FALSE)</f>
        <v>02</v>
      </c>
      <c r="K1070" s="2" t="s">
        <v>101</v>
      </c>
      <c r="L1070" s="23" t="str">
        <f>VLOOKUP(Tabla3[[#This Row],[PROVEEDOR]],'SAPROV (2)'!A:B,2,FALSE)</f>
        <v>36</v>
      </c>
      <c r="M1070" t="str">
        <f>VLOOKUP(Tabla3[[#This Row],[SERVICIO]],'SAPROV (2)'!I:J,2,FALSE)</f>
        <v>SERV0011</v>
      </c>
      <c r="N1070" t="s">
        <v>927</v>
      </c>
      <c r="P1070">
        <f>VLOOKUP(Tabla3[[#This Row],[FECHA]],TASA[],2,FALSE)</f>
        <v>367.31</v>
      </c>
      <c r="Q1070" s="4">
        <f t="shared" si="108"/>
        <v>-87.688219759875849</v>
      </c>
      <c r="R1070" t="s">
        <v>1465</v>
      </c>
    </row>
    <row r="1071" spans="1:18" x14ac:dyDescent="0.25">
      <c r="A1071" s="33">
        <v>46052</v>
      </c>
      <c r="B1071" s="1">
        <v>187162</v>
      </c>
      <c r="C1071" s="2" t="s">
        <v>1310</v>
      </c>
      <c r="D1071" s="34">
        <v>-96.63</v>
      </c>
      <c r="E1071" t="s">
        <v>20</v>
      </c>
      <c r="F1071" s="2" t="e">
        <f>VLOOKUP(Tabla3[[#This Row],[CONTABLE]],'SAPROV (2)'!L:M,2,FALSE)</f>
        <v>#N/A</v>
      </c>
      <c r="H1071" t="s">
        <v>588</v>
      </c>
      <c r="I1071" s="2" t="str">
        <f>VLOOKUP(Tabla3[[#This Row],[Deposito]],'SAPROV (2)'!D:E,2,FALSE)</f>
        <v>A01</v>
      </c>
      <c r="K1071" s="23" t="s">
        <v>23</v>
      </c>
      <c r="L1071" s="23" t="str">
        <f>VLOOKUP(Tabla3[[#This Row],[PROVEEDOR]],'SAPROV (2)'!A:B,2,FALSE)</f>
        <v>04</v>
      </c>
      <c r="M1071" t="str">
        <f>VLOOKUP(Tabla3[[#This Row],[SERVICIO]],'SAPROV (2)'!I:J,2,FALSE)</f>
        <v>SERV0060</v>
      </c>
      <c r="N1071" t="s">
        <v>611</v>
      </c>
      <c r="P1071">
        <f>VLOOKUP(Tabla3[[#This Row],[FECHA]],TASA[],2,FALSE)</f>
        <v>367.31</v>
      </c>
      <c r="Q1071" s="4">
        <f t="shared" si="108"/>
        <v>-0.26307478696468922</v>
      </c>
      <c r="R1071" t="s">
        <v>1465</v>
      </c>
    </row>
    <row r="1072" spans="1:18" x14ac:dyDescent="0.25">
      <c r="A1072" s="33">
        <v>46052</v>
      </c>
      <c r="B1072" s="1">
        <v>187165</v>
      </c>
      <c r="C1072" s="2" t="s">
        <v>1311</v>
      </c>
      <c r="D1072" s="34">
        <v>-32208.76</v>
      </c>
      <c r="E1072" t="s">
        <v>20</v>
      </c>
      <c r="F1072" s="2" t="e">
        <f>VLOOKUP(Tabla3[[#This Row],[CONTABLE]],'SAPROV (2)'!L:M,2,FALSE)</f>
        <v>#N/A</v>
      </c>
      <c r="H1072" t="s">
        <v>1280</v>
      </c>
      <c r="I1072" s="2" t="str">
        <f>VLOOKUP(Tabla3[[#This Row],[Deposito]],'SAPROV (2)'!D:E,2,FALSE)</f>
        <v>01</v>
      </c>
      <c r="K1072" s="2" t="s">
        <v>101</v>
      </c>
      <c r="L1072" s="2" t="str">
        <f>VLOOKUP(Tabla3[[#This Row],[PROVEEDOR]],'SAPROV (2)'!A:B,2,FALSE)</f>
        <v>36</v>
      </c>
      <c r="M1072" t="str">
        <f>VLOOKUP(Tabla3[[#This Row],[SERVICIO]],'SAPROV (2)'!I:J,2,FALSE)</f>
        <v>SERV0011</v>
      </c>
      <c r="N1072" t="s">
        <v>927</v>
      </c>
      <c r="P1072">
        <f>VLOOKUP(Tabla3[[#This Row],[FECHA]],TASA[],2,FALSE)</f>
        <v>367.31</v>
      </c>
      <c r="Q1072" s="4">
        <f t="shared" si="108"/>
        <v>-87.688219759875849</v>
      </c>
      <c r="R1072" t="s">
        <v>1465</v>
      </c>
    </row>
    <row r="1073" spans="1:18" x14ac:dyDescent="0.25">
      <c r="A1073" s="33">
        <v>46052</v>
      </c>
      <c r="B1073" s="1">
        <v>187165</v>
      </c>
      <c r="C1073" s="2" t="s">
        <v>1312</v>
      </c>
      <c r="D1073" s="34">
        <v>-96.63</v>
      </c>
      <c r="E1073" t="s">
        <v>20</v>
      </c>
      <c r="F1073" s="2" t="e">
        <f>VLOOKUP(Tabla3[[#This Row],[CONTABLE]],'SAPROV (2)'!L:M,2,FALSE)</f>
        <v>#N/A</v>
      </c>
      <c r="H1073" t="s">
        <v>588</v>
      </c>
      <c r="I1073" s="2" t="str">
        <f>VLOOKUP(Tabla3[[#This Row],[Deposito]],'SAPROV (2)'!D:E,2,FALSE)</f>
        <v>A01</v>
      </c>
      <c r="K1073" s="23" t="s">
        <v>23</v>
      </c>
      <c r="L1073" s="23" t="str">
        <f>VLOOKUP(Tabla3[[#This Row],[PROVEEDOR]],'SAPROV (2)'!A:B,2,FALSE)</f>
        <v>04</v>
      </c>
      <c r="M1073" t="str">
        <f>VLOOKUP(Tabla3[[#This Row],[SERVICIO]],'SAPROV (2)'!I:J,2,FALSE)</f>
        <v>SERV0060</v>
      </c>
      <c r="N1073" t="s">
        <v>611</v>
      </c>
      <c r="P1073">
        <f>VLOOKUP(Tabla3[[#This Row],[FECHA]],TASA[],2,FALSE)</f>
        <v>367.31</v>
      </c>
      <c r="Q1073" s="4">
        <f t="shared" si="108"/>
        <v>-0.26307478696468922</v>
      </c>
      <c r="R1073" t="s">
        <v>1465</v>
      </c>
    </row>
    <row r="1074" spans="1:18" x14ac:dyDescent="0.25">
      <c r="A1074" s="33">
        <v>46052</v>
      </c>
      <c r="B1074" s="1">
        <v>187176</v>
      </c>
      <c r="C1074" s="2" t="s">
        <v>1423</v>
      </c>
      <c r="D1074" s="34">
        <v>-16028.47</v>
      </c>
      <c r="E1074" t="s">
        <v>20</v>
      </c>
      <c r="F1074" s="2" t="e">
        <f>VLOOKUP(Tabla3[[#This Row],[CONTABLE]],'SAPROV (2)'!L:M,2,FALSE)</f>
        <v>#N/A</v>
      </c>
      <c r="H1074" t="s">
        <v>1278</v>
      </c>
      <c r="I1074" s="2" t="str">
        <f>VLOOKUP(Tabla3[[#This Row],[Deposito]],'SAPROV (2)'!D:E,2,FALSE)</f>
        <v>06</v>
      </c>
      <c r="K1074" s="2" t="s">
        <v>101</v>
      </c>
      <c r="L1074" s="23" t="str">
        <f>VLOOKUP(Tabla3[[#This Row],[PROVEEDOR]],'SAPROV (2)'!A:B,2,FALSE)</f>
        <v>36</v>
      </c>
      <c r="M1074" t="str">
        <f>VLOOKUP(Tabla3[[#This Row],[SERVICIO]],'SAPROV (2)'!I:J,2,FALSE)</f>
        <v>SERV0011</v>
      </c>
      <c r="N1074" t="s">
        <v>927</v>
      </c>
      <c r="P1074">
        <f>VLOOKUP(Tabla3[[#This Row],[FECHA]],TASA[],2,FALSE)</f>
        <v>367.31</v>
      </c>
      <c r="Q1074" s="4">
        <f t="shared" si="108"/>
        <v>-43.637445209768316</v>
      </c>
      <c r="R1074" t="s">
        <v>1465</v>
      </c>
    </row>
    <row r="1075" spans="1:18" x14ac:dyDescent="0.25">
      <c r="A1075" s="33">
        <v>46052</v>
      </c>
      <c r="B1075" s="1">
        <v>187176</v>
      </c>
      <c r="C1075" s="2" t="s">
        <v>1314</v>
      </c>
      <c r="D1075" s="34">
        <v>-48.09</v>
      </c>
      <c r="E1075" t="s">
        <v>20</v>
      </c>
      <c r="F1075" s="2" t="e">
        <f>VLOOKUP(Tabla3[[#This Row],[CONTABLE]],'SAPROV (2)'!L:M,2,FALSE)</f>
        <v>#N/A</v>
      </c>
      <c r="H1075" t="s">
        <v>588</v>
      </c>
      <c r="I1075" s="2" t="str">
        <f>VLOOKUP(Tabla3[[#This Row],[Deposito]],'SAPROV (2)'!D:E,2,FALSE)</f>
        <v>A01</v>
      </c>
      <c r="K1075" s="23" t="s">
        <v>23</v>
      </c>
      <c r="L1075" s="2" t="str">
        <f>VLOOKUP(Tabla3[[#This Row],[PROVEEDOR]],'SAPROV (2)'!A:B,2,FALSE)</f>
        <v>04</v>
      </c>
      <c r="M1075" t="str">
        <f>VLOOKUP(Tabla3[[#This Row],[SERVICIO]],'SAPROV (2)'!I:J,2,FALSE)</f>
        <v>SERV0060</v>
      </c>
      <c r="N1075" t="s">
        <v>611</v>
      </c>
      <c r="P1075">
        <f>VLOOKUP(Tabla3[[#This Row],[FECHA]],TASA[],2,FALSE)</f>
        <v>367.31</v>
      </c>
      <c r="Q1075" s="4">
        <f t="shared" si="108"/>
        <v>-0.13092483188587298</v>
      </c>
      <c r="R1075" t="s">
        <v>1465</v>
      </c>
    </row>
    <row r="1076" spans="1:18" x14ac:dyDescent="0.25">
      <c r="A1076" s="33">
        <v>46052</v>
      </c>
      <c r="B1076" s="1">
        <v>187179</v>
      </c>
      <c r="C1076" s="2" t="s">
        <v>1424</v>
      </c>
      <c r="D1076" s="34">
        <v>-32208.76</v>
      </c>
      <c r="E1076" t="s">
        <v>20</v>
      </c>
      <c r="F1076" s="2" t="e">
        <f>VLOOKUP(Tabla3[[#This Row],[CONTABLE]],'SAPROV (2)'!L:M,2,FALSE)</f>
        <v>#N/A</v>
      </c>
      <c r="H1076" t="s">
        <v>1274</v>
      </c>
      <c r="I1076" s="2" t="str">
        <f>VLOOKUP(Tabla3[[#This Row],[Deposito]],'SAPROV (2)'!D:E,2,FALSE)</f>
        <v>02</v>
      </c>
      <c r="K1076" s="2" t="s">
        <v>101</v>
      </c>
      <c r="L1076" s="23" t="str">
        <f>VLOOKUP(Tabla3[[#This Row],[PROVEEDOR]],'SAPROV (2)'!A:B,2,FALSE)</f>
        <v>36</v>
      </c>
      <c r="M1076" t="str">
        <f>VLOOKUP(Tabla3[[#This Row],[SERVICIO]],'SAPROV (2)'!I:J,2,FALSE)</f>
        <v>SERV0011</v>
      </c>
      <c r="N1076" t="s">
        <v>927</v>
      </c>
      <c r="P1076">
        <f>VLOOKUP(Tabla3[[#This Row],[FECHA]],TASA[],2,FALSE)</f>
        <v>367.31</v>
      </c>
      <c r="Q1076" s="4">
        <f t="shared" si="108"/>
        <v>-87.688219759875849</v>
      </c>
      <c r="R1076" t="s">
        <v>1465</v>
      </c>
    </row>
    <row r="1077" spans="1:18" x14ac:dyDescent="0.25">
      <c r="A1077" s="33">
        <v>46052</v>
      </c>
      <c r="B1077" s="1">
        <v>187179</v>
      </c>
      <c r="C1077" s="2" t="s">
        <v>1316</v>
      </c>
      <c r="D1077" s="34">
        <v>-96.63</v>
      </c>
      <c r="E1077" t="s">
        <v>20</v>
      </c>
      <c r="F1077" s="2" t="e">
        <f>VLOOKUP(Tabla3[[#This Row],[CONTABLE]],'SAPROV (2)'!L:M,2,FALSE)</f>
        <v>#N/A</v>
      </c>
      <c r="H1077" t="s">
        <v>588</v>
      </c>
      <c r="I1077" s="2" t="str">
        <f>VLOOKUP(Tabla3[[#This Row],[Deposito]],'SAPROV (2)'!D:E,2,FALSE)</f>
        <v>A01</v>
      </c>
      <c r="K1077" s="23" t="s">
        <v>23</v>
      </c>
      <c r="L1077" s="23" t="str">
        <f>VLOOKUP(Tabla3[[#This Row],[PROVEEDOR]],'SAPROV (2)'!A:B,2,FALSE)</f>
        <v>04</v>
      </c>
      <c r="M1077" t="str">
        <f>VLOOKUP(Tabla3[[#This Row],[SERVICIO]],'SAPROV (2)'!I:J,2,FALSE)</f>
        <v>SERV0060</v>
      </c>
      <c r="N1077" t="s">
        <v>611</v>
      </c>
      <c r="P1077">
        <f>VLOOKUP(Tabla3[[#This Row],[FECHA]],TASA[],2,FALSE)</f>
        <v>367.31</v>
      </c>
      <c r="Q1077" s="4">
        <f t="shared" si="108"/>
        <v>-0.26307478696468922</v>
      </c>
      <c r="R1077" t="s">
        <v>1465</v>
      </c>
    </row>
    <row r="1078" spans="1:18" x14ac:dyDescent="0.25">
      <c r="A1078" s="33">
        <v>46052</v>
      </c>
      <c r="B1078" s="1">
        <v>187182</v>
      </c>
      <c r="C1078" s="2" t="s">
        <v>1425</v>
      </c>
      <c r="D1078" s="34">
        <v>-33408.910000000003</v>
      </c>
      <c r="E1078" t="s">
        <v>20</v>
      </c>
      <c r="F1078" s="2" t="e">
        <f>VLOOKUP(Tabla3[[#This Row],[CONTABLE]],'SAPROV (2)'!L:M,2,FALSE)</f>
        <v>#N/A</v>
      </c>
      <c r="H1078" t="s">
        <v>1281</v>
      </c>
      <c r="I1078" s="2" t="str">
        <f>VLOOKUP(Tabla3[[#This Row],[Deposito]],'SAPROV (2)'!D:E,2,FALSE)</f>
        <v>07</v>
      </c>
      <c r="K1078" s="2" t="s">
        <v>101</v>
      </c>
      <c r="L1078" s="2" t="str">
        <f>VLOOKUP(Tabla3[[#This Row],[PROVEEDOR]],'SAPROV (2)'!A:B,2,FALSE)</f>
        <v>36</v>
      </c>
      <c r="M1078" t="str">
        <f>VLOOKUP(Tabla3[[#This Row],[SERVICIO]],'SAPROV (2)'!I:J,2,FALSE)</f>
        <v>SERV0011</v>
      </c>
      <c r="N1078" t="s">
        <v>927</v>
      </c>
      <c r="P1078">
        <f>VLOOKUP(Tabla3[[#This Row],[FECHA]],TASA[],2,FALSE)</f>
        <v>367.31</v>
      </c>
      <c r="Q1078" s="4">
        <f t="shared" si="108"/>
        <v>-90.955623315455625</v>
      </c>
      <c r="R1078" t="s">
        <v>1465</v>
      </c>
    </row>
    <row r="1079" spans="1:18" x14ac:dyDescent="0.25">
      <c r="A1079" s="33">
        <v>46052</v>
      </c>
      <c r="B1079" s="1">
        <v>187182</v>
      </c>
      <c r="C1079" s="2" t="s">
        <v>1318</v>
      </c>
      <c r="D1079" s="34">
        <v>-100.23</v>
      </c>
      <c r="E1079" t="s">
        <v>20</v>
      </c>
      <c r="F1079" s="2" t="e">
        <f>VLOOKUP(Tabla3[[#This Row],[CONTABLE]],'SAPROV (2)'!L:M,2,FALSE)</f>
        <v>#N/A</v>
      </c>
      <c r="H1079" t="s">
        <v>588</v>
      </c>
      <c r="I1079" s="2" t="str">
        <f>VLOOKUP(Tabla3[[#This Row],[Deposito]],'SAPROV (2)'!D:E,2,FALSE)</f>
        <v>A01</v>
      </c>
      <c r="K1079" s="23" t="s">
        <v>23</v>
      </c>
      <c r="L1079" s="23" t="str">
        <f>VLOOKUP(Tabla3[[#This Row],[PROVEEDOR]],'SAPROV (2)'!A:B,2,FALSE)</f>
        <v>04</v>
      </c>
      <c r="M1079" t="str">
        <f>VLOOKUP(Tabla3[[#This Row],[SERVICIO]],'SAPROV (2)'!I:J,2,FALSE)</f>
        <v>SERV0060</v>
      </c>
      <c r="N1079" t="s">
        <v>611</v>
      </c>
      <c r="P1079">
        <f>VLOOKUP(Tabla3[[#This Row],[FECHA]],TASA[],2,FALSE)</f>
        <v>367.31</v>
      </c>
      <c r="Q1079" s="4">
        <f t="shared" si="108"/>
        <v>-0.27287577250823558</v>
      </c>
      <c r="R1079" t="s">
        <v>1465</v>
      </c>
    </row>
    <row r="1080" spans="1:18" x14ac:dyDescent="0.25">
      <c r="A1080" s="33">
        <v>46052</v>
      </c>
      <c r="B1080" s="1">
        <v>187186</v>
      </c>
      <c r="C1080" s="2" t="s">
        <v>1426</v>
      </c>
      <c r="D1080" s="34">
        <v>-32208.76</v>
      </c>
      <c r="E1080" t="s">
        <v>20</v>
      </c>
      <c r="F1080" s="2" t="e">
        <f>VLOOKUP(Tabla3[[#This Row],[CONTABLE]],'SAPROV (2)'!L:M,2,FALSE)</f>
        <v>#N/A</v>
      </c>
      <c r="H1080" t="s">
        <v>1274</v>
      </c>
      <c r="I1080" s="2" t="str">
        <f>VLOOKUP(Tabla3[[#This Row],[Deposito]],'SAPROV (2)'!D:E,2,FALSE)</f>
        <v>02</v>
      </c>
      <c r="K1080" s="2" t="s">
        <v>101</v>
      </c>
      <c r="L1080" s="23" t="str">
        <f>VLOOKUP(Tabla3[[#This Row],[PROVEEDOR]],'SAPROV (2)'!A:B,2,FALSE)</f>
        <v>36</v>
      </c>
      <c r="M1080" t="str">
        <f>VLOOKUP(Tabla3[[#This Row],[SERVICIO]],'SAPROV (2)'!I:J,2,FALSE)</f>
        <v>SERV0011</v>
      </c>
      <c r="N1080" t="s">
        <v>927</v>
      </c>
      <c r="P1080">
        <f>VLOOKUP(Tabla3[[#This Row],[FECHA]],TASA[],2,FALSE)</f>
        <v>367.31</v>
      </c>
      <c r="Q1080" s="4">
        <f t="shared" si="108"/>
        <v>-87.688219759875849</v>
      </c>
      <c r="R1080" t="s">
        <v>1465</v>
      </c>
    </row>
    <row r="1081" spans="1:18" x14ac:dyDescent="0.25">
      <c r="A1081" s="33">
        <v>46052</v>
      </c>
      <c r="B1081" s="1">
        <v>187186</v>
      </c>
      <c r="C1081" s="2" t="s">
        <v>1320</v>
      </c>
      <c r="D1081" s="34">
        <v>-96.63</v>
      </c>
      <c r="E1081" t="s">
        <v>20</v>
      </c>
      <c r="F1081" s="2" t="e">
        <f>VLOOKUP(Tabla3[[#This Row],[CONTABLE]],'SAPROV (2)'!L:M,2,FALSE)</f>
        <v>#N/A</v>
      </c>
      <c r="H1081" t="s">
        <v>588</v>
      </c>
      <c r="I1081" s="2" t="str">
        <f>VLOOKUP(Tabla3[[#This Row],[Deposito]],'SAPROV (2)'!D:E,2,FALSE)</f>
        <v>A01</v>
      </c>
      <c r="K1081" s="23" t="s">
        <v>23</v>
      </c>
      <c r="L1081" s="2" t="str">
        <f>VLOOKUP(Tabla3[[#This Row],[PROVEEDOR]],'SAPROV (2)'!A:B,2,FALSE)</f>
        <v>04</v>
      </c>
      <c r="M1081" t="str">
        <f>VLOOKUP(Tabla3[[#This Row],[SERVICIO]],'SAPROV (2)'!I:J,2,FALSE)</f>
        <v>SERV0060</v>
      </c>
      <c r="N1081" t="s">
        <v>611</v>
      </c>
      <c r="P1081">
        <f>VLOOKUP(Tabla3[[#This Row],[FECHA]],TASA[],2,FALSE)</f>
        <v>367.31</v>
      </c>
      <c r="Q1081" s="4">
        <f t="shared" si="108"/>
        <v>-0.26307478696468922</v>
      </c>
      <c r="R1081" t="s">
        <v>1465</v>
      </c>
    </row>
    <row r="1082" spans="1:18" x14ac:dyDescent="0.25">
      <c r="A1082" s="33">
        <v>46052</v>
      </c>
      <c r="B1082" s="1">
        <v>187189</v>
      </c>
      <c r="C1082" s="2" t="s">
        <v>1427</v>
      </c>
      <c r="D1082" s="34">
        <v>-61127.96</v>
      </c>
      <c r="E1082" t="s">
        <v>20</v>
      </c>
      <c r="F1082" s="2" t="e">
        <f>VLOOKUP(Tabla3[[#This Row],[CONTABLE]],'SAPROV (2)'!L:M,2,FALSE)</f>
        <v>#N/A</v>
      </c>
      <c r="H1082" t="s">
        <v>1281</v>
      </c>
      <c r="I1082" s="2" t="str">
        <f>VLOOKUP(Tabla3[[#This Row],[Deposito]],'SAPROV (2)'!D:E,2,FALSE)</f>
        <v>07</v>
      </c>
      <c r="K1082" s="2" t="s">
        <v>101</v>
      </c>
      <c r="L1082" s="23" t="str">
        <f>VLOOKUP(Tabla3[[#This Row],[PROVEEDOR]],'SAPROV (2)'!A:B,2,FALSE)</f>
        <v>36</v>
      </c>
      <c r="M1082" t="str">
        <f>VLOOKUP(Tabla3[[#This Row],[SERVICIO]],'SAPROV (2)'!I:J,2,FALSE)</f>
        <v>SERV0011</v>
      </c>
      <c r="N1082" t="s">
        <v>927</v>
      </c>
      <c r="P1082">
        <f>VLOOKUP(Tabla3[[#This Row],[FECHA]],TASA[],2,FALSE)</f>
        <v>367.31</v>
      </c>
      <c r="Q1082" s="4">
        <f t="shared" si="108"/>
        <v>-166.42062562957719</v>
      </c>
      <c r="R1082" t="s">
        <v>1465</v>
      </c>
    </row>
    <row r="1083" spans="1:18" x14ac:dyDescent="0.25">
      <c r="A1083" s="33">
        <v>46052</v>
      </c>
      <c r="B1083" s="1">
        <v>187189</v>
      </c>
      <c r="C1083" s="2" t="s">
        <v>1322</v>
      </c>
      <c r="D1083" s="34">
        <v>-183.38</v>
      </c>
      <c r="E1083" t="s">
        <v>20</v>
      </c>
      <c r="F1083" s="2" t="e">
        <f>VLOOKUP(Tabla3[[#This Row],[CONTABLE]],'SAPROV (2)'!L:M,2,FALSE)</f>
        <v>#N/A</v>
      </c>
      <c r="H1083" t="s">
        <v>588</v>
      </c>
      <c r="I1083" s="2" t="str">
        <f>VLOOKUP(Tabla3[[#This Row],[Deposito]],'SAPROV (2)'!D:E,2,FALSE)</f>
        <v>A01</v>
      </c>
      <c r="K1083" s="23" t="s">
        <v>23</v>
      </c>
      <c r="L1083" s="23" t="str">
        <f>VLOOKUP(Tabla3[[#This Row],[PROVEEDOR]],'SAPROV (2)'!A:B,2,FALSE)</f>
        <v>04</v>
      </c>
      <c r="M1083" t="str">
        <f>VLOOKUP(Tabla3[[#This Row],[SERVICIO]],'SAPROV (2)'!I:J,2,FALSE)</f>
        <v>SERV0060</v>
      </c>
      <c r="N1083" t="s">
        <v>611</v>
      </c>
      <c r="P1083">
        <f>VLOOKUP(Tabla3[[#This Row],[FECHA]],TASA[],2,FALSE)</f>
        <v>367.31</v>
      </c>
      <c r="Q1083" s="4">
        <f t="shared" si="108"/>
        <v>-0.49925131360431241</v>
      </c>
      <c r="R1083" t="s">
        <v>1465</v>
      </c>
    </row>
    <row r="1084" spans="1:18" x14ac:dyDescent="0.25">
      <c r="A1084" s="33">
        <v>46052</v>
      </c>
      <c r="B1084" s="1">
        <v>187196</v>
      </c>
      <c r="C1084" s="2" t="s">
        <v>1428</v>
      </c>
      <c r="D1084" s="34">
        <v>-25188.62</v>
      </c>
      <c r="E1084" t="s">
        <v>20</v>
      </c>
      <c r="F1084" s="2" t="e">
        <f>VLOOKUP(Tabla3[[#This Row],[CONTABLE]],'SAPROV (2)'!L:M,2,FALSE)</f>
        <v>#N/A</v>
      </c>
      <c r="H1084" t="s">
        <v>1281</v>
      </c>
      <c r="I1084" s="2" t="str">
        <f>VLOOKUP(Tabla3[[#This Row],[Deposito]],'SAPROV (2)'!D:E,2,FALSE)</f>
        <v>07</v>
      </c>
      <c r="K1084" s="2" t="s">
        <v>101</v>
      </c>
      <c r="L1084" s="2" t="str">
        <f>VLOOKUP(Tabla3[[#This Row],[PROVEEDOR]],'SAPROV (2)'!A:B,2,FALSE)</f>
        <v>36</v>
      </c>
      <c r="M1084" t="str">
        <f>VLOOKUP(Tabla3[[#This Row],[SERVICIO]],'SAPROV (2)'!I:J,2,FALSE)</f>
        <v>SERV0011</v>
      </c>
      <c r="N1084" t="s">
        <v>927</v>
      </c>
      <c r="P1084">
        <f>VLOOKUP(Tabla3[[#This Row],[FECHA]],TASA[],2,FALSE)</f>
        <v>367.31</v>
      </c>
      <c r="Q1084" s="4">
        <f t="shared" si="108"/>
        <v>-68.57591680052272</v>
      </c>
      <c r="R1084" t="s">
        <v>1465</v>
      </c>
    </row>
    <row r="1085" spans="1:18" x14ac:dyDescent="0.25">
      <c r="A1085" s="33">
        <v>46052</v>
      </c>
      <c r="B1085" s="1">
        <v>187196</v>
      </c>
      <c r="C1085" s="2" t="s">
        <v>1324</v>
      </c>
      <c r="D1085" s="34">
        <v>-75.569999999999993</v>
      </c>
      <c r="E1085" t="s">
        <v>20</v>
      </c>
      <c r="F1085" s="2" t="e">
        <f>VLOOKUP(Tabla3[[#This Row],[CONTABLE]],'SAPROV (2)'!L:M,2,FALSE)</f>
        <v>#N/A</v>
      </c>
      <c r="H1085" t="s">
        <v>588</v>
      </c>
      <c r="I1085" s="2" t="str">
        <f>VLOOKUP(Tabla3[[#This Row],[Deposito]],'SAPROV (2)'!D:E,2,FALSE)</f>
        <v>A01</v>
      </c>
      <c r="K1085" s="23" t="s">
        <v>23</v>
      </c>
      <c r="L1085" s="23" t="str">
        <f>VLOOKUP(Tabla3[[#This Row],[PROVEEDOR]],'SAPROV (2)'!A:B,2,FALSE)</f>
        <v>04</v>
      </c>
      <c r="M1085" t="str">
        <f>VLOOKUP(Tabla3[[#This Row],[SERVICIO]],'SAPROV (2)'!I:J,2,FALSE)</f>
        <v>SERV0060</v>
      </c>
      <c r="N1085" t="s">
        <v>611</v>
      </c>
      <c r="P1085">
        <f>VLOOKUP(Tabla3[[#This Row],[FECHA]],TASA[],2,FALSE)</f>
        <v>367.31</v>
      </c>
      <c r="Q1085" s="4">
        <f t="shared" si="108"/>
        <v>-0.20573902153494322</v>
      </c>
      <c r="R1085" t="s">
        <v>1465</v>
      </c>
    </row>
    <row r="1086" spans="1:18" x14ac:dyDescent="0.25">
      <c r="A1086" s="33">
        <v>46052</v>
      </c>
      <c r="B1086" s="1">
        <v>187202</v>
      </c>
      <c r="C1086" s="2" t="s">
        <v>1429</v>
      </c>
      <c r="D1086" s="34">
        <v>-61127.96</v>
      </c>
      <c r="E1086" t="s">
        <v>20</v>
      </c>
      <c r="F1086" s="2" t="e">
        <f>VLOOKUP(Tabla3[[#This Row],[CONTABLE]],'SAPROV (2)'!L:M,2,FALSE)</f>
        <v>#N/A</v>
      </c>
      <c r="H1086" t="s">
        <v>1281</v>
      </c>
      <c r="I1086" s="2" t="str">
        <f>VLOOKUP(Tabla3[[#This Row],[Deposito]],'SAPROV (2)'!D:E,2,FALSE)</f>
        <v>07</v>
      </c>
      <c r="K1086" s="2" t="s">
        <v>101</v>
      </c>
      <c r="L1086" s="23" t="str">
        <f>VLOOKUP(Tabla3[[#This Row],[PROVEEDOR]],'SAPROV (2)'!A:B,2,FALSE)</f>
        <v>36</v>
      </c>
      <c r="M1086" t="str">
        <f>VLOOKUP(Tabla3[[#This Row],[SERVICIO]],'SAPROV (2)'!I:J,2,FALSE)</f>
        <v>SERV0011</v>
      </c>
      <c r="N1086" t="s">
        <v>927</v>
      </c>
      <c r="P1086">
        <f>VLOOKUP(Tabla3[[#This Row],[FECHA]],TASA[],2,FALSE)</f>
        <v>367.31</v>
      </c>
      <c r="Q1086" s="4">
        <f t="shared" si="108"/>
        <v>-166.42062562957719</v>
      </c>
      <c r="R1086" t="s">
        <v>1465</v>
      </c>
    </row>
    <row r="1087" spans="1:18" x14ac:dyDescent="0.25">
      <c r="A1087" s="33">
        <v>46052</v>
      </c>
      <c r="B1087" s="1">
        <v>187202</v>
      </c>
      <c r="C1087" s="2" t="s">
        <v>1326</v>
      </c>
      <c r="D1087" s="34">
        <v>-183.38</v>
      </c>
      <c r="E1087" t="s">
        <v>20</v>
      </c>
      <c r="F1087" s="2" t="e">
        <f>VLOOKUP(Tabla3[[#This Row],[CONTABLE]],'SAPROV (2)'!L:M,2,FALSE)</f>
        <v>#N/A</v>
      </c>
      <c r="H1087" t="s">
        <v>588</v>
      </c>
      <c r="I1087" s="2" t="str">
        <f>VLOOKUP(Tabla3[[#This Row],[Deposito]],'SAPROV (2)'!D:E,2,FALSE)</f>
        <v>A01</v>
      </c>
      <c r="K1087" s="23" t="s">
        <v>23</v>
      </c>
      <c r="L1087" s="2" t="str">
        <f>VLOOKUP(Tabla3[[#This Row],[PROVEEDOR]],'SAPROV (2)'!A:B,2,FALSE)</f>
        <v>04</v>
      </c>
      <c r="M1087" t="str">
        <f>VLOOKUP(Tabla3[[#This Row],[SERVICIO]],'SAPROV (2)'!I:J,2,FALSE)</f>
        <v>SERV0060</v>
      </c>
      <c r="N1087" t="s">
        <v>611</v>
      </c>
      <c r="P1087">
        <f>VLOOKUP(Tabla3[[#This Row],[FECHA]],TASA[],2,FALSE)</f>
        <v>367.31</v>
      </c>
      <c r="Q1087" s="4">
        <f t="shared" si="108"/>
        <v>-0.49925131360431241</v>
      </c>
      <c r="R1087" t="s">
        <v>1465</v>
      </c>
    </row>
    <row r="1088" spans="1:18" x14ac:dyDescent="0.25">
      <c r="A1088" s="33">
        <v>46052</v>
      </c>
      <c r="B1088" s="1">
        <v>187204</v>
      </c>
      <c r="C1088" s="2" t="s">
        <v>1430</v>
      </c>
      <c r="D1088" s="34">
        <v>-34301.79</v>
      </c>
      <c r="E1088" t="s">
        <v>20</v>
      </c>
      <c r="F1088" s="2" t="e">
        <f>VLOOKUP(Tabla3[[#This Row],[CONTABLE]],'SAPROV (2)'!L:M,2,FALSE)</f>
        <v>#N/A</v>
      </c>
      <c r="H1088" t="s">
        <v>1274</v>
      </c>
      <c r="I1088" s="2" t="str">
        <f>VLOOKUP(Tabla3[[#This Row],[Deposito]],'SAPROV (2)'!D:E,2,FALSE)</f>
        <v>02</v>
      </c>
      <c r="K1088" s="2" t="s">
        <v>101</v>
      </c>
      <c r="L1088" s="23" t="str">
        <f>VLOOKUP(Tabla3[[#This Row],[PROVEEDOR]],'SAPROV (2)'!A:B,2,FALSE)</f>
        <v>36</v>
      </c>
      <c r="M1088" t="str">
        <f>VLOOKUP(Tabla3[[#This Row],[SERVICIO]],'SAPROV (2)'!I:J,2,FALSE)</f>
        <v>SERV0011</v>
      </c>
      <c r="N1088" t="s">
        <v>927</v>
      </c>
      <c r="P1088">
        <f>VLOOKUP(Tabla3[[#This Row],[FECHA]],TASA[],2,FALSE)</f>
        <v>367.31</v>
      </c>
      <c r="Q1088" s="4">
        <f t="shared" si="108"/>
        <v>-93.38648552993385</v>
      </c>
      <c r="R1088" t="s">
        <v>1465</v>
      </c>
    </row>
    <row r="1089" spans="1:18" x14ac:dyDescent="0.25">
      <c r="A1089" s="33">
        <v>46052</v>
      </c>
      <c r="B1089" s="1">
        <v>187204</v>
      </c>
      <c r="C1089" s="2" t="s">
        <v>1328</v>
      </c>
      <c r="D1089" s="34">
        <v>-102.91</v>
      </c>
      <c r="E1089" t="s">
        <v>20</v>
      </c>
      <c r="F1089" s="2" t="e">
        <f>VLOOKUP(Tabla3[[#This Row],[CONTABLE]],'SAPROV (2)'!L:M,2,FALSE)</f>
        <v>#N/A</v>
      </c>
      <c r="H1089" t="s">
        <v>588</v>
      </c>
      <c r="I1089" s="2" t="str">
        <f>VLOOKUP(Tabla3[[#This Row],[Deposito]],'SAPROV (2)'!D:E,2,FALSE)</f>
        <v>A01</v>
      </c>
      <c r="K1089" s="23" t="s">
        <v>23</v>
      </c>
      <c r="L1089" s="23" t="str">
        <f>VLOOKUP(Tabla3[[#This Row],[PROVEEDOR]],'SAPROV (2)'!A:B,2,FALSE)</f>
        <v>04</v>
      </c>
      <c r="M1089" t="str">
        <f>VLOOKUP(Tabla3[[#This Row],[SERVICIO]],'SAPROV (2)'!I:J,2,FALSE)</f>
        <v>SERV0060</v>
      </c>
      <c r="N1089" t="s">
        <v>611</v>
      </c>
      <c r="P1089">
        <f>VLOOKUP(Tabla3[[#This Row],[FECHA]],TASA[],2,FALSE)</f>
        <v>367.31</v>
      </c>
      <c r="Q1089" s="4">
        <f t="shared" si="108"/>
        <v>-0.2801720617462089</v>
      </c>
      <c r="R1089" t="s">
        <v>1465</v>
      </c>
    </row>
    <row r="1090" spans="1:18" x14ac:dyDescent="0.25">
      <c r="A1090" s="33">
        <v>46052</v>
      </c>
      <c r="B1090" s="1">
        <v>187207</v>
      </c>
      <c r="C1090" s="2" t="s">
        <v>1431</v>
      </c>
      <c r="D1090" s="34">
        <v>-46668.36</v>
      </c>
      <c r="E1090" t="s">
        <v>20</v>
      </c>
      <c r="F1090" s="2" t="e">
        <f>VLOOKUP(Tabla3[[#This Row],[CONTABLE]],'SAPROV (2)'!L:M,2,FALSE)</f>
        <v>#N/A</v>
      </c>
      <c r="H1090" t="s">
        <v>1281</v>
      </c>
      <c r="I1090" s="2" t="str">
        <f>VLOOKUP(Tabla3[[#This Row],[Deposito]],'SAPROV (2)'!D:E,2,FALSE)</f>
        <v>07</v>
      </c>
      <c r="K1090" s="2" t="s">
        <v>101</v>
      </c>
      <c r="L1090" s="2" t="str">
        <f>VLOOKUP(Tabla3[[#This Row],[PROVEEDOR]],'SAPROV (2)'!A:B,2,FALSE)</f>
        <v>36</v>
      </c>
      <c r="M1090" t="str">
        <f>VLOOKUP(Tabla3[[#This Row],[SERVICIO]],'SAPROV (2)'!I:J,2,FALSE)</f>
        <v>SERV0011</v>
      </c>
      <c r="N1090" t="s">
        <v>927</v>
      </c>
      <c r="P1090">
        <f>VLOOKUP(Tabla3[[#This Row],[FECHA]],TASA[],2,FALSE)</f>
        <v>367.31</v>
      </c>
      <c r="Q1090" s="4">
        <f t="shared" si="108"/>
        <v>-127.05442269472653</v>
      </c>
      <c r="R1090" t="s">
        <v>1465</v>
      </c>
    </row>
    <row r="1091" spans="1:18" x14ac:dyDescent="0.25">
      <c r="A1091" s="33">
        <v>46052</v>
      </c>
      <c r="B1091" s="1">
        <v>187207</v>
      </c>
      <c r="C1091" s="2" t="s">
        <v>1330</v>
      </c>
      <c r="D1091" s="34">
        <v>-140.01</v>
      </c>
      <c r="E1091" t="s">
        <v>20</v>
      </c>
      <c r="F1091" s="2" t="e">
        <f>VLOOKUP(Tabla3[[#This Row],[CONTABLE]],'SAPROV (2)'!L:M,2,FALSE)</f>
        <v>#N/A</v>
      </c>
      <c r="H1091" t="s">
        <v>588</v>
      </c>
      <c r="I1091" s="2" t="str">
        <f>VLOOKUP(Tabla3[[#This Row],[Deposito]],'SAPROV (2)'!D:E,2,FALSE)</f>
        <v>A01</v>
      </c>
      <c r="K1091" s="23" t="s">
        <v>23</v>
      </c>
      <c r="L1091" s="23" t="str">
        <f>VLOOKUP(Tabla3[[#This Row],[PROVEEDOR]],'SAPROV (2)'!A:B,2,FALSE)</f>
        <v>04</v>
      </c>
      <c r="M1091" t="str">
        <f>VLOOKUP(Tabla3[[#This Row],[SERVICIO]],'SAPROV (2)'!I:J,2,FALSE)</f>
        <v>SERV0060</v>
      </c>
      <c r="N1091" t="s">
        <v>611</v>
      </c>
      <c r="P1091">
        <f>VLOOKUP(Tabla3[[#This Row],[FECHA]],TASA[],2,FALSE)</f>
        <v>367.31</v>
      </c>
      <c r="Q1091" s="4">
        <f t="shared" si="108"/>
        <v>-0.38117666276442241</v>
      </c>
      <c r="R1091" t="s">
        <v>1465</v>
      </c>
    </row>
    <row r="1092" spans="1:18" x14ac:dyDescent="0.25">
      <c r="A1092" s="33">
        <v>46052</v>
      </c>
      <c r="B1092" s="1">
        <v>187214</v>
      </c>
      <c r="C1092" s="2" t="s">
        <v>1432</v>
      </c>
      <c r="D1092" s="34">
        <v>-66546.69</v>
      </c>
      <c r="E1092" t="s">
        <v>20</v>
      </c>
      <c r="F1092" s="2" t="e">
        <f>VLOOKUP(Tabla3[[#This Row],[CONTABLE]],'SAPROV (2)'!L:M,2,FALSE)</f>
        <v>#N/A</v>
      </c>
      <c r="H1092" t="s">
        <v>1281</v>
      </c>
      <c r="I1092" s="2" t="str">
        <f>VLOOKUP(Tabla3[[#This Row],[Deposito]],'SAPROV (2)'!D:E,2,FALSE)</f>
        <v>07</v>
      </c>
      <c r="K1092" s="2" t="s">
        <v>101</v>
      </c>
      <c r="L1092" s="23" t="str">
        <f>VLOOKUP(Tabla3[[#This Row],[PROVEEDOR]],'SAPROV (2)'!A:B,2,FALSE)</f>
        <v>36</v>
      </c>
      <c r="M1092" t="str">
        <f>VLOOKUP(Tabla3[[#This Row],[SERVICIO]],'SAPROV (2)'!I:J,2,FALSE)</f>
        <v>SERV0011</v>
      </c>
      <c r="N1092" t="s">
        <v>927</v>
      </c>
      <c r="P1092">
        <f>VLOOKUP(Tabla3[[#This Row],[FECHA]],TASA[],2,FALSE)</f>
        <v>367.31</v>
      </c>
      <c r="Q1092" s="4">
        <f t="shared" ref="Q1092:Q1155" si="109">D1092/P1092</f>
        <v>-181.17309629468298</v>
      </c>
      <c r="R1092" t="s">
        <v>1465</v>
      </c>
    </row>
    <row r="1093" spans="1:18" x14ac:dyDescent="0.25">
      <c r="A1093" s="33">
        <v>46052</v>
      </c>
      <c r="B1093" s="1">
        <v>187214</v>
      </c>
      <c r="C1093" s="2" t="s">
        <v>1332</v>
      </c>
      <c r="D1093" s="34">
        <v>-199.64</v>
      </c>
      <c r="E1093" t="s">
        <v>20</v>
      </c>
      <c r="F1093" s="2" t="e">
        <f>VLOOKUP(Tabla3[[#This Row],[CONTABLE]],'SAPROV (2)'!L:M,2,FALSE)</f>
        <v>#N/A</v>
      </c>
      <c r="H1093" t="s">
        <v>588</v>
      </c>
      <c r="I1093" s="2" t="str">
        <f>VLOOKUP(Tabla3[[#This Row],[Deposito]],'SAPROV (2)'!D:E,2,FALSE)</f>
        <v>A01</v>
      </c>
      <c r="K1093" s="23" t="s">
        <v>23</v>
      </c>
      <c r="L1093" s="2" t="str">
        <f>VLOOKUP(Tabla3[[#This Row],[PROVEEDOR]],'SAPROV (2)'!A:B,2,FALSE)</f>
        <v>04</v>
      </c>
      <c r="M1093" t="str">
        <f>VLOOKUP(Tabla3[[#This Row],[SERVICIO]],'SAPROV (2)'!I:J,2,FALSE)</f>
        <v>SERV0060</v>
      </c>
      <c r="N1093" t="s">
        <v>611</v>
      </c>
      <c r="P1093">
        <f>VLOOKUP(Tabla3[[#This Row],[FECHA]],TASA[],2,FALSE)</f>
        <v>367.31</v>
      </c>
      <c r="Q1093" s="4">
        <f t="shared" si="109"/>
        <v>-0.54351909830932998</v>
      </c>
      <c r="R1093" t="s">
        <v>1465</v>
      </c>
    </row>
    <row r="1094" spans="1:18" x14ac:dyDescent="0.25">
      <c r="A1094" s="33">
        <v>46052</v>
      </c>
      <c r="B1094" s="1">
        <v>187217</v>
      </c>
      <c r="C1094" s="2" t="s">
        <v>1433</v>
      </c>
      <c r="D1094" s="34">
        <v>-122581.26</v>
      </c>
      <c r="E1094" t="s">
        <v>20</v>
      </c>
      <c r="F1094" s="2" t="e">
        <f>VLOOKUP(Tabla3[[#This Row],[CONTABLE]],'SAPROV (2)'!L:M,2,FALSE)</f>
        <v>#N/A</v>
      </c>
      <c r="H1094" t="s">
        <v>1281</v>
      </c>
      <c r="I1094" s="2" t="str">
        <f>VLOOKUP(Tabla3[[#This Row],[Deposito]],'SAPROV (2)'!D:E,2,FALSE)</f>
        <v>07</v>
      </c>
      <c r="K1094" s="2" t="s">
        <v>101</v>
      </c>
      <c r="L1094" s="23" t="str">
        <f>VLOOKUP(Tabla3[[#This Row],[PROVEEDOR]],'SAPROV (2)'!A:B,2,FALSE)</f>
        <v>36</v>
      </c>
      <c r="M1094" t="str">
        <f>VLOOKUP(Tabla3[[#This Row],[SERVICIO]],'SAPROV (2)'!I:J,2,FALSE)</f>
        <v>SERV0011</v>
      </c>
      <c r="N1094" t="s">
        <v>927</v>
      </c>
      <c r="P1094">
        <f>VLOOKUP(Tabla3[[#This Row],[FECHA]],TASA[],2,FALSE)</f>
        <v>367.31</v>
      </c>
      <c r="Q1094" s="4">
        <f t="shared" si="109"/>
        <v>-333.72698810269253</v>
      </c>
      <c r="R1094" t="s">
        <v>1465</v>
      </c>
    </row>
    <row r="1095" spans="1:18" x14ac:dyDescent="0.25">
      <c r="A1095" s="33">
        <v>46052</v>
      </c>
      <c r="B1095" s="1">
        <v>187217</v>
      </c>
      <c r="C1095" s="2" t="s">
        <v>1334</v>
      </c>
      <c r="D1095" s="34">
        <v>-367.74</v>
      </c>
      <c r="E1095" t="s">
        <v>20</v>
      </c>
      <c r="F1095" s="2" t="e">
        <f>VLOOKUP(Tabla3[[#This Row],[CONTABLE]],'SAPROV (2)'!L:M,2,FALSE)</f>
        <v>#N/A</v>
      </c>
      <c r="H1095" t="s">
        <v>588</v>
      </c>
      <c r="I1095" s="2" t="str">
        <f>VLOOKUP(Tabla3[[#This Row],[Deposito]],'SAPROV (2)'!D:E,2,FALSE)</f>
        <v>A01</v>
      </c>
      <c r="K1095" s="23" t="s">
        <v>23</v>
      </c>
      <c r="L1095" s="23" t="str">
        <f>VLOOKUP(Tabla3[[#This Row],[PROVEEDOR]],'SAPROV (2)'!A:B,2,FALSE)</f>
        <v>04</v>
      </c>
      <c r="M1095" t="str">
        <f>VLOOKUP(Tabla3[[#This Row],[SERVICIO]],'SAPROV (2)'!I:J,2,FALSE)</f>
        <v>SERV0060</v>
      </c>
      <c r="N1095" t="s">
        <v>611</v>
      </c>
      <c r="P1095">
        <f>VLOOKUP(Tabla3[[#This Row],[FECHA]],TASA[],2,FALSE)</f>
        <v>367.31</v>
      </c>
      <c r="Q1095" s="4">
        <f t="shared" si="109"/>
        <v>-1.001170673273257</v>
      </c>
      <c r="R1095" t="s">
        <v>1465</v>
      </c>
    </row>
    <row r="1096" spans="1:18" x14ac:dyDescent="0.25">
      <c r="A1096" s="33">
        <v>46052</v>
      </c>
      <c r="B1096" s="1">
        <v>187220</v>
      </c>
      <c r="C1096" s="2" t="s">
        <v>1434</v>
      </c>
      <c r="D1096" s="34">
        <v>-6904.46</v>
      </c>
      <c r="E1096" t="s">
        <v>20</v>
      </c>
      <c r="F1096" s="2" t="e">
        <f>VLOOKUP(Tabla3[[#This Row],[CONTABLE]],'SAPROV (2)'!L:M,2,FALSE)</f>
        <v>#N/A</v>
      </c>
      <c r="H1096" t="s">
        <v>1281</v>
      </c>
      <c r="I1096" s="2" t="str">
        <f>VLOOKUP(Tabla3[[#This Row],[Deposito]],'SAPROV (2)'!D:E,2,FALSE)</f>
        <v>07</v>
      </c>
      <c r="K1096" s="2" t="s">
        <v>101</v>
      </c>
      <c r="L1096" s="2" t="str">
        <f>VLOOKUP(Tabla3[[#This Row],[PROVEEDOR]],'SAPROV (2)'!A:B,2,FALSE)</f>
        <v>36</v>
      </c>
      <c r="M1096" t="str">
        <f>VLOOKUP(Tabla3[[#This Row],[SERVICIO]],'SAPROV (2)'!I:J,2,FALSE)</f>
        <v>SERV0011</v>
      </c>
      <c r="N1096" t="s">
        <v>927</v>
      </c>
      <c r="P1096">
        <f>VLOOKUP(Tabla3[[#This Row],[FECHA]],TASA[],2,FALSE)</f>
        <v>367.31</v>
      </c>
      <c r="Q1096" s="4">
        <f t="shared" si="109"/>
        <v>-18.79736462388718</v>
      </c>
      <c r="R1096" t="s">
        <v>1465</v>
      </c>
    </row>
    <row r="1097" spans="1:18" x14ac:dyDescent="0.25">
      <c r="A1097" s="33">
        <v>46052</v>
      </c>
      <c r="B1097" s="1">
        <v>187220</v>
      </c>
      <c r="C1097" s="2" t="s">
        <v>1336</v>
      </c>
      <c r="D1097" s="34">
        <v>-20.71</v>
      </c>
      <c r="E1097" t="s">
        <v>20</v>
      </c>
      <c r="F1097" s="2" t="e">
        <f>VLOOKUP(Tabla3[[#This Row],[CONTABLE]],'SAPROV (2)'!L:M,2,FALSE)</f>
        <v>#N/A</v>
      </c>
      <c r="H1097" t="s">
        <v>588</v>
      </c>
      <c r="I1097" s="2" t="str">
        <f>VLOOKUP(Tabla3[[#This Row],[Deposito]],'SAPROV (2)'!D:E,2,FALSE)</f>
        <v>A01</v>
      </c>
      <c r="K1097" s="23" t="s">
        <v>23</v>
      </c>
      <c r="L1097" s="23" t="str">
        <f>VLOOKUP(Tabla3[[#This Row],[PROVEEDOR]],'SAPROV (2)'!A:B,2,FALSE)</f>
        <v>04</v>
      </c>
      <c r="M1097" t="str">
        <f>VLOOKUP(Tabla3[[#This Row],[SERVICIO]],'SAPROV (2)'!I:J,2,FALSE)</f>
        <v>SERV0060</v>
      </c>
      <c r="N1097" t="s">
        <v>611</v>
      </c>
      <c r="P1097">
        <f>VLOOKUP(Tabla3[[#This Row],[FECHA]],TASA[],2,FALSE)</f>
        <v>367.31</v>
      </c>
      <c r="Q1097" s="4">
        <f t="shared" si="109"/>
        <v>-5.6382891835234546E-2</v>
      </c>
      <c r="R1097" t="s">
        <v>1465</v>
      </c>
    </row>
    <row r="1098" spans="1:18" x14ac:dyDescent="0.25">
      <c r="A1098" s="33">
        <v>46052</v>
      </c>
      <c r="B1098" s="1">
        <v>187223</v>
      </c>
      <c r="C1098" s="2" t="s">
        <v>1435</v>
      </c>
      <c r="D1098" s="34">
        <v>-32208.76</v>
      </c>
      <c r="E1098" t="s">
        <v>20</v>
      </c>
      <c r="F1098" s="2" t="e">
        <f>VLOOKUP(Tabla3[[#This Row],[CONTABLE]],'SAPROV (2)'!L:M,2,FALSE)</f>
        <v>#N/A</v>
      </c>
      <c r="H1098" t="s">
        <v>1280</v>
      </c>
      <c r="I1098" s="2" t="str">
        <f>VLOOKUP(Tabla3[[#This Row],[Deposito]],'SAPROV (2)'!D:E,2,FALSE)</f>
        <v>01</v>
      </c>
      <c r="K1098" s="2" t="s">
        <v>101</v>
      </c>
      <c r="L1098" s="23" t="str">
        <f>VLOOKUP(Tabla3[[#This Row],[PROVEEDOR]],'SAPROV (2)'!A:B,2,FALSE)</f>
        <v>36</v>
      </c>
      <c r="M1098" t="str">
        <f>VLOOKUP(Tabla3[[#This Row],[SERVICIO]],'SAPROV (2)'!I:J,2,FALSE)</f>
        <v>SERV0011</v>
      </c>
      <c r="N1098" t="s">
        <v>927</v>
      </c>
      <c r="P1098">
        <f>VLOOKUP(Tabla3[[#This Row],[FECHA]],TASA[],2,FALSE)</f>
        <v>367.31</v>
      </c>
      <c r="Q1098" s="4">
        <f t="shared" si="109"/>
        <v>-87.688219759875849</v>
      </c>
      <c r="R1098" t="s">
        <v>1465</v>
      </c>
    </row>
    <row r="1099" spans="1:18" x14ac:dyDescent="0.25">
      <c r="A1099" s="33">
        <v>46052</v>
      </c>
      <c r="B1099" s="1">
        <v>187223</v>
      </c>
      <c r="C1099" s="2" t="s">
        <v>1338</v>
      </c>
      <c r="D1099" s="34">
        <v>-96.63</v>
      </c>
      <c r="E1099" t="s">
        <v>20</v>
      </c>
      <c r="F1099" s="2" t="e">
        <f>VLOOKUP(Tabla3[[#This Row],[CONTABLE]],'SAPROV (2)'!L:M,2,FALSE)</f>
        <v>#N/A</v>
      </c>
      <c r="H1099" t="s">
        <v>588</v>
      </c>
      <c r="I1099" s="2" t="str">
        <f>VLOOKUP(Tabla3[[#This Row],[Deposito]],'SAPROV (2)'!D:E,2,FALSE)</f>
        <v>A01</v>
      </c>
      <c r="K1099" s="23" t="s">
        <v>23</v>
      </c>
      <c r="L1099" s="2" t="str">
        <f>VLOOKUP(Tabla3[[#This Row],[PROVEEDOR]],'SAPROV (2)'!A:B,2,FALSE)</f>
        <v>04</v>
      </c>
      <c r="M1099" t="str">
        <f>VLOOKUP(Tabla3[[#This Row],[SERVICIO]],'SAPROV (2)'!I:J,2,FALSE)</f>
        <v>SERV0060</v>
      </c>
      <c r="N1099" t="s">
        <v>611</v>
      </c>
      <c r="P1099">
        <f>VLOOKUP(Tabla3[[#This Row],[FECHA]],TASA[],2,FALSE)</f>
        <v>367.31</v>
      </c>
      <c r="Q1099" s="4">
        <f t="shared" si="109"/>
        <v>-0.26307478696468922</v>
      </c>
      <c r="R1099" t="s">
        <v>1465</v>
      </c>
    </row>
    <row r="1100" spans="1:18" x14ac:dyDescent="0.25">
      <c r="A1100" s="33">
        <v>46052</v>
      </c>
      <c r="B1100" s="1">
        <v>187227</v>
      </c>
      <c r="C1100" s="2" t="s">
        <v>1436</v>
      </c>
      <c r="D1100" s="34">
        <v>-55705.61</v>
      </c>
      <c r="E1100" t="s">
        <v>20</v>
      </c>
      <c r="F1100" s="2" t="e">
        <f>VLOOKUP(Tabla3[[#This Row],[CONTABLE]],'SAPROV (2)'!L:M,2,FALSE)</f>
        <v>#N/A</v>
      </c>
      <c r="H1100" t="s">
        <v>1281</v>
      </c>
      <c r="I1100" s="2" t="str">
        <f>VLOOKUP(Tabla3[[#This Row],[Deposito]],'SAPROV (2)'!D:E,2,FALSE)</f>
        <v>07</v>
      </c>
      <c r="K1100" s="2" t="s">
        <v>101</v>
      </c>
      <c r="L1100" s="23" t="str">
        <f>VLOOKUP(Tabla3[[#This Row],[PROVEEDOR]],'SAPROV (2)'!A:B,2,FALSE)</f>
        <v>36</v>
      </c>
      <c r="M1100" t="str">
        <f>VLOOKUP(Tabla3[[#This Row],[SERVICIO]],'SAPROV (2)'!I:J,2,FALSE)</f>
        <v>SERV0011</v>
      </c>
      <c r="N1100" t="s">
        <v>927</v>
      </c>
      <c r="P1100">
        <f>VLOOKUP(Tabla3[[#This Row],[FECHA]],TASA[],2,FALSE)</f>
        <v>367.31</v>
      </c>
      <c r="Q1100" s="4">
        <f t="shared" si="109"/>
        <v>-151.65829952900819</v>
      </c>
      <c r="R1100" t="s">
        <v>1465</v>
      </c>
    </row>
    <row r="1101" spans="1:18" x14ac:dyDescent="0.25">
      <c r="A1101" s="33">
        <v>46052</v>
      </c>
      <c r="B1101" s="1">
        <v>187227</v>
      </c>
      <c r="C1101" s="2" t="s">
        <v>1340</v>
      </c>
      <c r="D1101" s="34">
        <v>-167.12</v>
      </c>
      <c r="E1101" t="s">
        <v>20</v>
      </c>
      <c r="F1101" s="2" t="e">
        <f>VLOOKUP(Tabla3[[#This Row],[CONTABLE]],'SAPROV (2)'!L:M,2,FALSE)</f>
        <v>#N/A</v>
      </c>
      <c r="H1101" t="s">
        <v>588</v>
      </c>
      <c r="I1101" s="2" t="str">
        <f>VLOOKUP(Tabla3[[#This Row],[Deposito]],'SAPROV (2)'!D:E,2,FALSE)</f>
        <v>A01</v>
      </c>
      <c r="K1101" s="23" t="s">
        <v>23</v>
      </c>
      <c r="L1101" s="23" t="str">
        <f>VLOOKUP(Tabla3[[#This Row],[PROVEEDOR]],'SAPROV (2)'!A:B,2,FALSE)</f>
        <v>04</v>
      </c>
      <c r="M1101" t="str">
        <f>VLOOKUP(Tabla3[[#This Row],[SERVICIO]],'SAPROV (2)'!I:J,2,FALSE)</f>
        <v>SERV0060</v>
      </c>
      <c r="N1101" t="s">
        <v>611</v>
      </c>
      <c r="P1101">
        <f>VLOOKUP(Tabla3[[#This Row],[FECHA]],TASA[],2,FALSE)</f>
        <v>367.31</v>
      </c>
      <c r="Q1101" s="4">
        <f t="shared" si="109"/>
        <v>-0.45498352889929489</v>
      </c>
      <c r="R1101" t="s">
        <v>1465</v>
      </c>
    </row>
    <row r="1102" spans="1:18" x14ac:dyDescent="0.25">
      <c r="A1102" s="33">
        <v>46052</v>
      </c>
      <c r="B1102" s="1">
        <v>187233</v>
      </c>
      <c r="C1102" s="2" t="s">
        <v>1437</v>
      </c>
      <c r="D1102" s="34">
        <v>-43096.84</v>
      </c>
      <c r="E1102" t="s">
        <v>20</v>
      </c>
      <c r="F1102" s="2" t="e">
        <f>VLOOKUP(Tabla3[[#This Row],[CONTABLE]],'SAPROV (2)'!L:M,2,FALSE)</f>
        <v>#N/A</v>
      </c>
      <c r="H1102" t="s">
        <v>1281</v>
      </c>
      <c r="I1102" s="2" t="str">
        <f>VLOOKUP(Tabla3[[#This Row],[Deposito]],'SAPROV (2)'!D:E,2,FALSE)</f>
        <v>07</v>
      </c>
      <c r="K1102" s="2" t="s">
        <v>101</v>
      </c>
      <c r="L1102" s="2" t="str">
        <f>VLOOKUP(Tabla3[[#This Row],[PROVEEDOR]],'SAPROV (2)'!A:B,2,FALSE)</f>
        <v>36</v>
      </c>
      <c r="M1102" t="str">
        <f>VLOOKUP(Tabla3[[#This Row],[SERVICIO]],'SAPROV (2)'!I:J,2,FALSE)</f>
        <v>SERV0011</v>
      </c>
      <c r="N1102" t="s">
        <v>927</v>
      </c>
      <c r="P1102">
        <f>VLOOKUP(Tabla3[[#This Row],[FECHA]],TASA[],2,FALSE)</f>
        <v>367.31</v>
      </c>
      <c r="Q1102" s="4">
        <f t="shared" si="109"/>
        <v>-117.33097383681358</v>
      </c>
      <c r="R1102" t="s">
        <v>1465</v>
      </c>
    </row>
    <row r="1103" spans="1:18" x14ac:dyDescent="0.25">
      <c r="A1103" s="33">
        <v>46052</v>
      </c>
      <c r="B1103" s="1">
        <v>187233</v>
      </c>
      <c r="C1103" s="2" t="s">
        <v>1342</v>
      </c>
      <c r="D1103" s="34">
        <v>-129.29</v>
      </c>
      <c r="E1103" t="s">
        <v>20</v>
      </c>
      <c r="F1103" s="2" t="e">
        <f>VLOOKUP(Tabla3[[#This Row],[CONTABLE]],'SAPROV (2)'!L:M,2,FALSE)</f>
        <v>#N/A</v>
      </c>
      <c r="H1103" t="s">
        <v>588</v>
      </c>
      <c r="I1103" s="2" t="str">
        <f>VLOOKUP(Tabla3[[#This Row],[Deposito]],'SAPROV (2)'!D:E,2,FALSE)</f>
        <v>A01</v>
      </c>
      <c r="K1103" s="23" t="s">
        <v>23</v>
      </c>
      <c r="L1103" s="23" t="str">
        <f>VLOOKUP(Tabla3[[#This Row],[PROVEEDOR]],'SAPROV (2)'!A:B,2,FALSE)</f>
        <v>04</v>
      </c>
      <c r="M1103" t="str">
        <f>VLOOKUP(Tabla3[[#This Row],[SERVICIO]],'SAPROV (2)'!I:J,2,FALSE)</f>
        <v>SERV0060</v>
      </c>
      <c r="N1103" t="s">
        <v>611</v>
      </c>
      <c r="P1103">
        <f>VLOOKUP(Tabla3[[#This Row],[FECHA]],TASA[],2,FALSE)</f>
        <v>367.31</v>
      </c>
      <c r="Q1103" s="4">
        <f t="shared" si="109"/>
        <v>-0.35199150581252892</v>
      </c>
      <c r="R1103" t="s">
        <v>1465</v>
      </c>
    </row>
    <row r="1104" spans="1:18" x14ac:dyDescent="0.25">
      <c r="A1104" s="33">
        <v>46052</v>
      </c>
      <c r="B1104" s="1">
        <v>187236</v>
      </c>
      <c r="C1104" s="2" t="s">
        <v>1473</v>
      </c>
      <c r="D1104" s="34">
        <v>-32208.76</v>
      </c>
      <c r="E1104" t="s">
        <v>20</v>
      </c>
      <c r="F1104" s="2" t="e">
        <f>VLOOKUP(Tabla3[[#This Row],[CONTABLE]],'SAPROV (2)'!L:M,2,FALSE)</f>
        <v>#N/A</v>
      </c>
      <c r="H1104" t="s">
        <v>1281</v>
      </c>
      <c r="I1104" s="2" t="str">
        <f>VLOOKUP(Tabla3[[#This Row],[Deposito]],'SAPROV (2)'!D:E,2,FALSE)</f>
        <v>07</v>
      </c>
      <c r="K1104" s="2" t="s">
        <v>101</v>
      </c>
      <c r="L1104" s="23" t="str">
        <f>VLOOKUP(Tabla3[[#This Row],[PROVEEDOR]],'SAPROV (2)'!A:B,2,FALSE)</f>
        <v>36</v>
      </c>
      <c r="M1104" t="str">
        <f>VLOOKUP(Tabla3[[#This Row],[SERVICIO]],'SAPROV (2)'!I:J,2,FALSE)</f>
        <v>SERV0011</v>
      </c>
      <c r="N1104" t="s">
        <v>927</v>
      </c>
      <c r="P1104">
        <f>VLOOKUP(Tabla3[[#This Row],[FECHA]],TASA[],2,FALSE)</f>
        <v>367.31</v>
      </c>
      <c r="Q1104" s="4">
        <f t="shared" si="109"/>
        <v>-87.688219759875849</v>
      </c>
      <c r="R1104" t="s">
        <v>1465</v>
      </c>
    </row>
    <row r="1105" spans="1:18" x14ac:dyDescent="0.25">
      <c r="A1105" s="33">
        <v>46052</v>
      </c>
      <c r="B1105" s="1">
        <v>187236</v>
      </c>
      <c r="C1105" s="2" t="s">
        <v>1343</v>
      </c>
      <c r="D1105" s="34">
        <v>-96.63</v>
      </c>
      <c r="E1105" t="s">
        <v>20</v>
      </c>
      <c r="F1105" s="2" t="e">
        <f>VLOOKUP(Tabla3[[#This Row],[CONTABLE]],'SAPROV (2)'!L:M,2,FALSE)</f>
        <v>#N/A</v>
      </c>
      <c r="H1105" t="s">
        <v>588</v>
      </c>
      <c r="I1105" s="2" t="str">
        <f>VLOOKUP(Tabla3[[#This Row],[Deposito]],'SAPROV (2)'!D:E,2,FALSE)</f>
        <v>A01</v>
      </c>
      <c r="K1105" s="23" t="s">
        <v>23</v>
      </c>
      <c r="L1105" s="2" t="str">
        <f>VLOOKUP(Tabla3[[#This Row],[PROVEEDOR]],'SAPROV (2)'!A:B,2,FALSE)</f>
        <v>04</v>
      </c>
      <c r="M1105" t="str">
        <f>VLOOKUP(Tabla3[[#This Row],[SERVICIO]],'SAPROV (2)'!I:J,2,FALSE)</f>
        <v>SERV0060</v>
      </c>
      <c r="N1105" t="s">
        <v>611</v>
      </c>
      <c r="P1105">
        <f>VLOOKUP(Tabla3[[#This Row],[FECHA]],TASA[],2,FALSE)</f>
        <v>367.31</v>
      </c>
      <c r="Q1105" s="4">
        <f t="shared" si="109"/>
        <v>-0.26307478696468922</v>
      </c>
      <c r="R1105" t="s">
        <v>1465</v>
      </c>
    </row>
    <row r="1106" spans="1:18" x14ac:dyDescent="0.25">
      <c r="A1106" s="33">
        <v>46052</v>
      </c>
      <c r="B1106" s="1">
        <v>187240</v>
      </c>
      <c r="C1106" s="2" t="s">
        <v>1438</v>
      </c>
      <c r="D1106" s="34">
        <v>-50283.26</v>
      </c>
      <c r="E1106" t="s">
        <v>20</v>
      </c>
      <c r="F1106" s="2" t="e">
        <f>VLOOKUP(Tabla3[[#This Row],[CONTABLE]],'SAPROV (2)'!L:M,2,FALSE)</f>
        <v>#N/A</v>
      </c>
      <c r="H1106" t="s">
        <v>1280</v>
      </c>
      <c r="I1106" s="2" t="str">
        <f>VLOOKUP(Tabla3[[#This Row],[Deposito]],'SAPROV (2)'!D:E,2,FALSE)</f>
        <v>01</v>
      </c>
      <c r="K1106" s="2" t="s">
        <v>101</v>
      </c>
      <c r="L1106" s="23" t="str">
        <f>VLOOKUP(Tabla3[[#This Row],[PROVEEDOR]],'SAPROV (2)'!A:B,2,FALSE)</f>
        <v>36</v>
      </c>
      <c r="M1106" t="str">
        <f>VLOOKUP(Tabla3[[#This Row],[SERVICIO]],'SAPROV (2)'!I:J,2,FALSE)</f>
        <v>SERV0011</v>
      </c>
      <c r="N1106" t="s">
        <v>927</v>
      </c>
      <c r="P1106">
        <f>VLOOKUP(Tabla3[[#This Row],[FECHA]],TASA[],2,FALSE)</f>
        <v>367.31</v>
      </c>
      <c r="Q1106" s="4">
        <f t="shared" si="109"/>
        <v>-136.89597342843919</v>
      </c>
      <c r="R1106" t="s">
        <v>1465</v>
      </c>
    </row>
    <row r="1107" spans="1:18" x14ac:dyDescent="0.25">
      <c r="A1107" s="33">
        <v>46052</v>
      </c>
      <c r="B1107" s="1">
        <v>187240</v>
      </c>
      <c r="C1107" s="2" t="s">
        <v>1345</v>
      </c>
      <c r="D1107" s="34">
        <v>-150.85</v>
      </c>
      <c r="E1107" t="s">
        <v>20</v>
      </c>
      <c r="F1107" s="2" t="e">
        <f>VLOOKUP(Tabla3[[#This Row],[CONTABLE]],'SAPROV (2)'!L:M,2,FALSE)</f>
        <v>#N/A</v>
      </c>
      <c r="H1107" t="s">
        <v>588</v>
      </c>
      <c r="I1107" s="2" t="str">
        <f>VLOOKUP(Tabla3[[#This Row],[Deposito]],'SAPROV (2)'!D:E,2,FALSE)</f>
        <v>A01</v>
      </c>
      <c r="K1107" s="23" t="s">
        <v>23</v>
      </c>
      <c r="L1107" s="23" t="str">
        <f>VLOOKUP(Tabla3[[#This Row],[PROVEEDOR]],'SAPROV (2)'!A:B,2,FALSE)</f>
        <v>04</v>
      </c>
      <c r="M1107" t="str">
        <f>VLOOKUP(Tabla3[[#This Row],[SERVICIO]],'SAPROV (2)'!I:J,2,FALSE)</f>
        <v>SERV0060</v>
      </c>
      <c r="N1107" t="s">
        <v>611</v>
      </c>
      <c r="P1107">
        <f>VLOOKUP(Tabla3[[#This Row],[FECHA]],TASA[],2,FALSE)</f>
        <v>367.31</v>
      </c>
      <c r="Q1107" s="4">
        <f t="shared" si="109"/>
        <v>-0.41068851923443411</v>
      </c>
      <c r="R1107" t="s">
        <v>1465</v>
      </c>
    </row>
    <row r="1108" spans="1:18" x14ac:dyDescent="0.25">
      <c r="A1108" s="33">
        <v>46052</v>
      </c>
      <c r="B1108" s="1">
        <v>187247</v>
      </c>
      <c r="C1108" s="2" t="s">
        <v>1439</v>
      </c>
      <c r="D1108" s="34">
        <v>-15037.98</v>
      </c>
      <c r="E1108" t="s">
        <v>20</v>
      </c>
      <c r="F1108" s="2" t="e">
        <f>VLOOKUP(Tabla3[[#This Row],[CONTABLE]],'SAPROV (2)'!L:M,2,FALSE)</f>
        <v>#N/A</v>
      </c>
      <c r="H1108" t="s">
        <v>1280</v>
      </c>
      <c r="I1108" s="2" t="str">
        <f>VLOOKUP(Tabla3[[#This Row],[Deposito]],'SAPROV (2)'!D:E,2,FALSE)</f>
        <v>01</v>
      </c>
      <c r="K1108" s="2" t="s">
        <v>101</v>
      </c>
      <c r="L1108" s="2" t="str">
        <f>VLOOKUP(Tabla3[[#This Row],[PROVEEDOR]],'SAPROV (2)'!A:B,2,FALSE)</f>
        <v>36</v>
      </c>
      <c r="M1108" t="str">
        <f>VLOOKUP(Tabla3[[#This Row],[SERVICIO]],'SAPROV (2)'!I:J,2,FALSE)</f>
        <v>SERV0011</v>
      </c>
      <c r="N1108" t="s">
        <v>927</v>
      </c>
      <c r="P1108">
        <f>VLOOKUP(Tabla3[[#This Row],[FECHA]],TASA[],2,FALSE)</f>
        <v>367.31</v>
      </c>
      <c r="Q1108" s="4">
        <f t="shared" si="109"/>
        <v>-40.940840162260763</v>
      </c>
      <c r="R1108" t="s">
        <v>1465</v>
      </c>
    </row>
    <row r="1109" spans="1:18" x14ac:dyDescent="0.25">
      <c r="A1109" s="33">
        <v>46052</v>
      </c>
      <c r="B1109" s="1">
        <v>187247</v>
      </c>
      <c r="C1109" s="2" t="s">
        <v>1347</v>
      </c>
      <c r="D1109" s="34">
        <v>-45.11</v>
      </c>
      <c r="E1109" t="s">
        <v>20</v>
      </c>
      <c r="F1109" s="2" t="e">
        <f>VLOOKUP(Tabla3[[#This Row],[CONTABLE]],'SAPROV (2)'!L:M,2,FALSE)</f>
        <v>#N/A</v>
      </c>
      <c r="H1109" t="s">
        <v>588</v>
      </c>
      <c r="I1109" s="2" t="str">
        <f>VLOOKUP(Tabla3[[#This Row],[Deposito]],'SAPROV (2)'!D:E,2,FALSE)</f>
        <v>A01</v>
      </c>
      <c r="K1109" s="23" t="s">
        <v>23</v>
      </c>
      <c r="L1109" s="23" t="str">
        <f>VLOOKUP(Tabla3[[#This Row],[PROVEEDOR]],'SAPROV (2)'!A:B,2,FALSE)</f>
        <v>04</v>
      </c>
      <c r="M1109" t="str">
        <f>VLOOKUP(Tabla3[[#This Row],[SERVICIO]],'SAPROV (2)'!I:J,2,FALSE)</f>
        <v>SERV0060</v>
      </c>
      <c r="N1109" t="s">
        <v>611</v>
      </c>
      <c r="P1109">
        <f>VLOOKUP(Tabla3[[#This Row],[FECHA]],TASA[],2,FALSE)</f>
        <v>367.31</v>
      </c>
      <c r="Q1109" s="4">
        <f t="shared" si="109"/>
        <v>-0.12281179385260406</v>
      </c>
      <c r="R1109" t="s">
        <v>1465</v>
      </c>
    </row>
    <row r="1110" spans="1:18" x14ac:dyDescent="0.25">
      <c r="A1110" s="33">
        <v>46052</v>
      </c>
      <c r="B1110" s="1">
        <v>187251</v>
      </c>
      <c r="C1110" s="2" t="s">
        <v>1440</v>
      </c>
      <c r="D1110" s="34">
        <v>-23771.58</v>
      </c>
      <c r="E1110" t="s">
        <v>20</v>
      </c>
      <c r="F1110" s="2" t="e">
        <f>VLOOKUP(Tabla3[[#This Row],[CONTABLE]],'SAPROV (2)'!L:M,2,FALSE)</f>
        <v>#N/A</v>
      </c>
      <c r="H1110" t="s">
        <v>1281</v>
      </c>
      <c r="I1110" s="2" t="str">
        <f>VLOOKUP(Tabla3[[#This Row],[Deposito]],'SAPROV (2)'!D:E,2,FALSE)</f>
        <v>07</v>
      </c>
      <c r="K1110" s="2" t="s">
        <v>101</v>
      </c>
      <c r="L1110" s="23" t="str">
        <f>VLOOKUP(Tabla3[[#This Row],[PROVEEDOR]],'SAPROV (2)'!A:B,2,FALSE)</f>
        <v>36</v>
      </c>
      <c r="M1110" t="str">
        <f>VLOOKUP(Tabla3[[#This Row],[SERVICIO]],'SAPROV (2)'!I:J,2,FALSE)</f>
        <v>SERV0011</v>
      </c>
      <c r="N1110" t="s">
        <v>927</v>
      </c>
      <c r="P1110">
        <f>VLOOKUP(Tabla3[[#This Row],[FECHA]],TASA[],2,FALSE)</f>
        <v>367.31</v>
      </c>
      <c r="Q1110" s="4">
        <f t="shared" si="109"/>
        <v>-64.718031090904148</v>
      </c>
      <c r="R1110" t="s">
        <v>1465</v>
      </c>
    </row>
    <row r="1111" spans="1:18" x14ac:dyDescent="0.25">
      <c r="A1111" s="33">
        <v>46052</v>
      </c>
      <c r="B1111" s="1">
        <v>187251</v>
      </c>
      <c r="C1111" s="2" t="s">
        <v>1349</v>
      </c>
      <c r="D1111" s="34">
        <v>-71.31</v>
      </c>
      <c r="E1111" t="s">
        <v>20</v>
      </c>
      <c r="F1111" s="2" t="e">
        <f>VLOOKUP(Tabla3[[#This Row],[CONTABLE]],'SAPROV (2)'!L:M,2,FALSE)</f>
        <v>#N/A</v>
      </c>
      <c r="H1111" t="s">
        <v>588</v>
      </c>
      <c r="I1111" s="2" t="str">
        <f>VLOOKUP(Tabla3[[#This Row],[Deposito]],'SAPROV (2)'!D:E,2,FALSE)</f>
        <v>A01</v>
      </c>
      <c r="K1111" s="23" t="s">
        <v>23</v>
      </c>
      <c r="L1111" s="2" t="str">
        <f>VLOOKUP(Tabla3[[#This Row],[PROVEEDOR]],'SAPROV (2)'!A:B,2,FALSE)</f>
        <v>04</v>
      </c>
      <c r="M1111" t="str">
        <f>VLOOKUP(Tabla3[[#This Row],[SERVICIO]],'SAPROV (2)'!I:J,2,FALSE)</f>
        <v>SERV0060</v>
      </c>
      <c r="N1111" t="s">
        <v>611</v>
      </c>
      <c r="P1111">
        <f>VLOOKUP(Tabla3[[#This Row],[FECHA]],TASA[],2,FALSE)</f>
        <v>367.31</v>
      </c>
      <c r="Q1111" s="4">
        <f t="shared" si="109"/>
        <v>-0.19414118864174676</v>
      </c>
      <c r="R1111" t="s">
        <v>1465</v>
      </c>
    </row>
    <row r="1112" spans="1:18" x14ac:dyDescent="0.25">
      <c r="A1112" s="33">
        <v>46052</v>
      </c>
      <c r="B1112" s="1">
        <v>187255</v>
      </c>
      <c r="C1112" s="2" t="s">
        <v>1441</v>
      </c>
      <c r="D1112" s="34">
        <v>-32208.76</v>
      </c>
      <c r="E1112" t="s">
        <v>20</v>
      </c>
      <c r="F1112" s="2" t="e">
        <f>VLOOKUP(Tabla3[[#This Row],[CONTABLE]],'SAPROV (2)'!L:M,2,FALSE)</f>
        <v>#N/A</v>
      </c>
      <c r="H1112" t="s">
        <v>1274</v>
      </c>
      <c r="I1112" s="2" t="str">
        <f>VLOOKUP(Tabla3[[#This Row],[Deposito]],'SAPROV (2)'!D:E,2,FALSE)</f>
        <v>02</v>
      </c>
      <c r="K1112" s="2" t="s">
        <v>101</v>
      </c>
      <c r="L1112" s="23" t="str">
        <f>VLOOKUP(Tabla3[[#This Row],[PROVEEDOR]],'SAPROV (2)'!A:B,2,FALSE)</f>
        <v>36</v>
      </c>
      <c r="M1112" t="str">
        <f>VLOOKUP(Tabla3[[#This Row],[SERVICIO]],'SAPROV (2)'!I:J,2,FALSE)</f>
        <v>SERV0011</v>
      </c>
      <c r="N1112" t="s">
        <v>927</v>
      </c>
      <c r="P1112">
        <f>VLOOKUP(Tabla3[[#This Row],[FECHA]],TASA[],2,FALSE)</f>
        <v>367.31</v>
      </c>
      <c r="Q1112" s="4">
        <f t="shared" si="109"/>
        <v>-87.688219759875849</v>
      </c>
      <c r="R1112" t="s">
        <v>1465</v>
      </c>
    </row>
    <row r="1113" spans="1:18" x14ac:dyDescent="0.25">
      <c r="A1113" s="33">
        <v>46052</v>
      </c>
      <c r="B1113" s="1">
        <v>187255</v>
      </c>
      <c r="C1113" s="2" t="s">
        <v>1351</v>
      </c>
      <c r="D1113" s="34">
        <v>-96.63</v>
      </c>
      <c r="E1113" t="s">
        <v>20</v>
      </c>
      <c r="F1113" s="2" t="e">
        <f>VLOOKUP(Tabla3[[#This Row],[CONTABLE]],'SAPROV (2)'!L:M,2,FALSE)</f>
        <v>#N/A</v>
      </c>
      <c r="H1113" t="s">
        <v>588</v>
      </c>
      <c r="I1113" s="2" t="str">
        <f>VLOOKUP(Tabla3[[#This Row],[Deposito]],'SAPROV (2)'!D:E,2,FALSE)</f>
        <v>A01</v>
      </c>
      <c r="K1113" s="23" t="s">
        <v>23</v>
      </c>
      <c r="L1113" s="23" t="str">
        <f>VLOOKUP(Tabla3[[#This Row],[PROVEEDOR]],'SAPROV (2)'!A:B,2,FALSE)</f>
        <v>04</v>
      </c>
      <c r="M1113" t="str">
        <f>VLOOKUP(Tabla3[[#This Row],[SERVICIO]],'SAPROV (2)'!I:J,2,FALSE)</f>
        <v>SERV0060</v>
      </c>
      <c r="N1113" t="s">
        <v>611</v>
      </c>
      <c r="P1113">
        <f>VLOOKUP(Tabla3[[#This Row],[FECHA]],TASA[],2,FALSE)</f>
        <v>367.31</v>
      </c>
      <c r="Q1113" s="4">
        <f t="shared" si="109"/>
        <v>-0.26307478696468922</v>
      </c>
      <c r="R1113" t="s">
        <v>1465</v>
      </c>
    </row>
    <row r="1114" spans="1:18" x14ac:dyDescent="0.25">
      <c r="A1114" s="33">
        <v>46052</v>
      </c>
      <c r="B1114" s="1">
        <v>187257</v>
      </c>
      <c r="C1114" s="2" t="s">
        <v>1442</v>
      </c>
      <c r="D1114" s="34">
        <v>-50283.26</v>
      </c>
      <c r="E1114" t="s">
        <v>20</v>
      </c>
      <c r="F1114" s="2" t="e">
        <f>VLOOKUP(Tabla3[[#This Row],[CONTABLE]],'SAPROV (2)'!L:M,2,FALSE)</f>
        <v>#N/A</v>
      </c>
      <c r="H1114" t="s">
        <v>1280</v>
      </c>
      <c r="I1114" s="2" t="str">
        <f>VLOOKUP(Tabla3[[#This Row],[Deposito]],'SAPROV (2)'!D:E,2,FALSE)</f>
        <v>01</v>
      </c>
      <c r="K1114" s="2" t="s">
        <v>101</v>
      </c>
      <c r="L1114" s="2" t="str">
        <f>VLOOKUP(Tabla3[[#This Row],[PROVEEDOR]],'SAPROV (2)'!A:B,2,FALSE)</f>
        <v>36</v>
      </c>
      <c r="M1114" t="str">
        <f>VLOOKUP(Tabla3[[#This Row],[SERVICIO]],'SAPROV (2)'!I:J,2,FALSE)</f>
        <v>SERV0011</v>
      </c>
      <c r="N1114" t="s">
        <v>927</v>
      </c>
      <c r="P1114">
        <f>VLOOKUP(Tabla3[[#This Row],[FECHA]],TASA[],2,FALSE)</f>
        <v>367.31</v>
      </c>
      <c r="Q1114" s="4">
        <f t="shared" si="109"/>
        <v>-136.89597342843919</v>
      </c>
      <c r="R1114" t="s">
        <v>1465</v>
      </c>
    </row>
    <row r="1115" spans="1:18" x14ac:dyDescent="0.25">
      <c r="A1115" s="33">
        <v>46052</v>
      </c>
      <c r="B1115" s="1">
        <v>187257</v>
      </c>
      <c r="C1115" s="2" t="s">
        <v>1353</v>
      </c>
      <c r="D1115" s="34">
        <v>-150.85</v>
      </c>
      <c r="E1115" t="s">
        <v>20</v>
      </c>
      <c r="F1115" s="2" t="e">
        <f>VLOOKUP(Tabla3[[#This Row],[CONTABLE]],'SAPROV (2)'!L:M,2,FALSE)</f>
        <v>#N/A</v>
      </c>
      <c r="H1115" t="s">
        <v>588</v>
      </c>
      <c r="I1115" s="2" t="str">
        <f>VLOOKUP(Tabla3[[#This Row],[Deposito]],'SAPROV (2)'!D:E,2,FALSE)</f>
        <v>A01</v>
      </c>
      <c r="K1115" s="23" t="s">
        <v>23</v>
      </c>
      <c r="L1115" s="23" t="str">
        <f>VLOOKUP(Tabla3[[#This Row],[PROVEEDOR]],'SAPROV (2)'!A:B,2,FALSE)</f>
        <v>04</v>
      </c>
      <c r="M1115" t="str">
        <f>VLOOKUP(Tabla3[[#This Row],[SERVICIO]],'SAPROV (2)'!I:J,2,FALSE)</f>
        <v>SERV0060</v>
      </c>
      <c r="N1115" t="s">
        <v>611</v>
      </c>
      <c r="P1115">
        <f>VLOOKUP(Tabla3[[#This Row],[FECHA]],TASA[],2,FALSE)</f>
        <v>367.31</v>
      </c>
      <c r="Q1115" s="4">
        <f t="shared" si="109"/>
        <v>-0.41068851923443411</v>
      </c>
      <c r="R1115" t="s">
        <v>1465</v>
      </c>
    </row>
    <row r="1116" spans="1:18" x14ac:dyDescent="0.25">
      <c r="A1116" s="33">
        <v>46052</v>
      </c>
      <c r="B1116" s="1">
        <v>187260</v>
      </c>
      <c r="C1116" s="2" t="s">
        <v>1443</v>
      </c>
      <c r="D1116" s="34">
        <v>-23771.58</v>
      </c>
      <c r="E1116" t="s">
        <v>20</v>
      </c>
      <c r="F1116" s="2" t="e">
        <f>VLOOKUP(Tabla3[[#This Row],[CONTABLE]],'SAPROV (2)'!L:M,2,FALSE)</f>
        <v>#N/A</v>
      </c>
      <c r="H1116" t="s">
        <v>1281</v>
      </c>
      <c r="I1116" s="2" t="str">
        <f>VLOOKUP(Tabla3[[#This Row],[Deposito]],'SAPROV (2)'!D:E,2,FALSE)</f>
        <v>07</v>
      </c>
      <c r="K1116" s="2" t="s">
        <v>101</v>
      </c>
      <c r="L1116" s="23" t="str">
        <f>VLOOKUP(Tabla3[[#This Row],[PROVEEDOR]],'SAPROV (2)'!A:B,2,FALSE)</f>
        <v>36</v>
      </c>
      <c r="M1116" t="str">
        <f>VLOOKUP(Tabla3[[#This Row],[SERVICIO]],'SAPROV (2)'!I:J,2,FALSE)</f>
        <v>SERV0011</v>
      </c>
      <c r="N1116" t="s">
        <v>927</v>
      </c>
      <c r="P1116">
        <f>VLOOKUP(Tabla3[[#This Row],[FECHA]],TASA[],2,FALSE)</f>
        <v>367.31</v>
      </c>
      <c r="Q1116" s="4">
        <f t="shared" si="109"/>
        <v>-64.718031090904148</v>
      </c>
      <c r="R1116" t="s">
        <v>1465</v>
      </c>
    </row>
    <row r="1117" spans="1:18" x14ac:dyDescent="0.25">
      <c r="A1117" s="33">
        <v>46052</v>
      </c>
      <c r="B1117" s="1">
        <v>187260</v>
      </c>
      <c r="C1117" s="2" t="s">
        <v>1355</v>
      </c>
      <c r="D1117" s="34">
        <v>-71.31</v>
      </c>
      <c r="E1117" t="s">
        <v>20</v>
      </c>
      <c r="F1117" s="2" t="e">
        <f>VLOOKUP(Tabla3[[#This Row],[CONTABLE]],'SAPROV (2)'!L:M,2,FALSE)</f>
        <v>#N/A</v>
      </c>
      <c r="H1117" t="s">
        <v>588</v>
      </c>
      <c r="I1117" s="2" t="str">
        <f>VLOOKUP(Tabla3[[#This Row],[Deposito]],'SAPROV (2)'!D:E,2,FALSE)</f>
        <v>A01</v>
      </c>
      <c r="K1117" s="23" t="s">
        <v>23</v>
      </c>
      <c r="L1117" s="2" t="str">
        <f>VLOOKUP(Tabla3[[#This Row],[PROVEEDOR]],'SAPROV (2)'!A:B,2,FALSE)</f>
        <v>04</v>
      </c>
      <c r="M1117" t="str">
        <f>VLOOKUP(Tabla3[[#This Row],[SERVICIO]],'SAPROV (2)'!I:J,2,FALSE)</f>
        <v>SERV0060</v>
      </c>
      <c r="N1117" t="s">
        <v>611</v>
      </c>
      <c r="P1117">
        <f>VLOOKUP(Tabla3[[#This Row],[FECHA]],TASA[],2,FALSE)</f>
        <v>367.31</v>
      </c>
      <c r="Q1117" s="4">
        <f t="shared" si="109"/>
        <v>-0.19414118864174676</v>
      </c>
      <c r="R1117" t="s">
        <v>1465</v>
      </c>
    </row>
    <row r="1118" spans="1:18" x14ac:dyDescent="0.25">
      <c r="A1118" s="33">
        <v>46052</v>
      </c>
      <c r="B1118" s="1">
        <v>187264</v>
      </c>
      <c r="C1118" s="2" t="s">
        <v>1444</v>
      </c>
      <c r="D1118" s="34">
        <v>-26157.41</v>
      </c>
      <c r="E1118" t="s">
        <v>20</v>
      </c>
      <c r="F1118" s="2" t="e">
        <f>VLOOKUP(Tabla3[[#This Row],[CONTABLE]],'SAPROV (2)'!L:M,2,FALSE)</f>
        <v>#N/A</v>
      </c>
      <c r="H1118" t="s">
        <v>1280</v>
      </c>
      <c r="I1118" s="2" t="str">
        <f>VLOOKUP(Tabla3[[#This Row],[Deposito]],'SAPROV (2)'!D:E,2,FALSE)</f>
        <v>01</v>
      </c>
      <c r="K1118" s="2" t="s">
        <v>101</v>
      </c>
      <c r="L1118" s="23" t="str">
        <f>VLOOKUP(Tabla3[[#This Row],[PROVEEDOR]],'SAPROV (2)'!A:B,2,FALSE)</f>
        <v>36</v>
      </c>
      <c r="M1118" t="str">
        <f>VLOOKUP(Tabla3[[#This Row],[SERVICIO]],'SAPROV (2)'!I:J,2,FALSE)</f>
        <v>SERV0011</v>
      </c>
      <c r="N1118" t="s">
        <v>927</v>
      </c>
      <c r="P1118">
        <f>VLOOKUP(Tabla3[[#This Row],[FECHA]],TASA[],2,FALSE)</f>
        <v>367.31</v>
      </c>
      <c r="Q1118" s="4">
        <f t="shared" si="109"/>
        <v>-71.21344368517056</v>
      </c>
      <c r="R1118" t="s">
        <v>1465</v>
      </c>
    </row>
    <row r="1119" spans="1:18" x14ac:dyDescent="0.25">
      <c r="A1119" s="33">
        <v>46052</v>
      </c>
      <c r="B1119" s="1">
        <v>187264</v>
      </c>
      <c r="C1119" s="2" t="s">
        <v>1357</v>
      </c>
      <c r="D1119" s="34">
        <v>-78.47</v>
      </c>
      <c r="E1119" t="s">
        <v>20</v>
      </c>
      <c r="F1119" s="2" t="e">
        <f>VLOOKUP(Tabla3[[#This Row],[CONTABLE]],'SAPROV (2)'!L:M,2,FALSE)</f>
        <v>#N/A</v>
      </c>
      <c r="H1119" t="s">
        <v>588</v>
      </c>
      <c r="I1119" s="2" t="str">
        <f>VLOOKUP(Tabla3[[#This Row],[Deposito]],'SAPROV (2)'!D:E,2,FALSE)</f>
        <v>A01</v>
      </c>
      <c r="K1119" s="23" t="s">
        <v>23</v>
      </c>
      <c r="L1119" s="23" t="str">
        <f>VLOOKUP(Tabla3[[#This Row],[PROVEEDOR]],'SAPROV (2)'!A:B,2,FALSE)</f>
        <v>04</v>
      </c>
      <c r="M1119" t="str">
        <f>VLOOKUP(Tabla3[[#This Row],[SERVICIO]],'SAPROV (2)'!I:J,2,FALSE)</f>
        <v>SERV0060</v>
      </c>
      <c r="N1119" t="s">
        <v>611</v>
      </c>
      <c r="P1119">
        <f>VLOOKUP(Tabla3[[#This Row],[FECHA]],TASA[],2,FALSE)</f>
        <v>367.31</v>
      </c>
      <c r="Q1119" s="4">
        <f t="shared" si="109"/>
        <v>-0.21363425988946666</v>
      </c>
      <c r="R1119" t="s">
        <v>1465</v>
      </c>
    </row>
    <row r="1120" spans="1:18" x14ac:dyDescent="0.25">
      <c r="A1120" s="33">
        <v>46052</v>
      </c>
      <c r="B1120" s="1">
        <v>187269</v>
      </c>
      <c r="C1120" s="2" t="s">
        <v>1445</v>
      </c>
      <c r="D1120" s="34">
        <v>-101253.35</v>
      </c>
      <c r="E1120" t="s">
        <v>20</v>
      </c>
      <c r="F1120" s="2" t="e">
        <f>VLOOKUP(Tabla3[[#This Row],[CONTABLE]],'SAPROV (2)'!L:M,2,FALSE)</f>
        <v>#N/A</v>
      </c>
      <c r="H1120" t="s">
        <v>1281</v>
      </c>
      <c r="I1120" s="2" t="str">
        <f>VLOOKUP(Tabla3[[#This Row],[Deposito]],'SAPROV (2)'!D:E,2,FALSE)</f>
        <v>07</v>
      </c>
      <c r="K1120" s="2" t="s">
        <v>101</v>
      </c>
      <c r="L1120" s="2" t="str">
        <f>VLOOKUP(Tabla3[[#This Row],[PROVEEDOR]],'SAPROV (2)'!A:B,2,FALSE)</f>
        <v>36</v>
      </c>
      <c r="M1120" t="str">
        <f>VLOOKUP(Tabla3[[#This Row],[SERVICIO]],'SAPROV (2)'!I:J,2,FALSE)</f>
        <v>SERV0011</v>
      </c>
      <c r="N1120" t="s">
        <v>927</v>
      </c>
      <c r="P1120">
        <f>VLOOKUP(Tabla3[[#This Row],[FECHA]],TASA[],2,FALSE)</f>
        <v>367.31</v>
      </c>
      <c r="Q1120" s="4">
        <f t="shared" si="109"/>
        <v>-275.66183877378785</v>
      </c>
      <c r="R1120" t="s">
        <v>1465</v>
      </c>
    </row>
    <row r="1121" spans="1:18" x14ac:dyDescent="0.25">
      <c r="A1121" s="33">
        <v>46052</v>
      </c>
      <c r="B1121" s="1">
        <v>187269</v>
      </c>
      <c r="C1121" s="2" t="s">
        <v>1359</v>
      </c>
      <c r="D1121" s="34">
        <v>-303.76</v>
      </c>
      <c r="E1121" t="s">
        <v>20</v>
      </c>
      <c r="F1121" s="2" t="e">
        <f>VLOOKUP(Tabla3[[#This Row],[CONTABLE]],'SAPROV (2)'!L:M,2,FALSE)</f>
        <v>#N/A</v>
      </c>
      <c r="H1121" t="s">
        <v>588</v>
      </c>
      <c r="I1121" s="2" t="str">
        <f>VLOOKUP(Tabla3[[#This Row],[Deposito]],'SAPROV (2)'!D:E,2,FALSE)</f>
        <v>A01</v>
      </c>
      <c r="K1121" s="23" t="s">
        <v>23</v>
      </c>
      <c r="L1121" s="23" t="str">
        <f>VLOOKUP(Tabla3[[#This Row],[PROVEEDOR]],'SAPROV (2)'!A:B,2,FALSE)</f>
        <v>04</v>
      </c>
      <c r="M1121" t="str">
        <f>VLOOKUP(Tabla3[[#This Row],[SERVICIO]],'SAPROV (2)'!I:J,2,FALSE)</f>
        <v>SERV0060</v>
      </c>
      <c r="N1121" t="s">
        <v>611</v>
      </c>
      <c r="P1121">
        <f>VLOOKUP(Tabla3[[#This Row],[FECHA]],TASA[],2,FALSE)</f>
        <v>367.31</v>
      </c>
      <c r="Q1121" s="4">
        <f t="shared" si="109"/>
        <v>-0.8269853801965642</v>
      </c>
      <c r="R1121" t="s">
        <v>1465</v>
      </c>
    </row>
    <row r="1122" spans="1:18" x14ac:dyDescent="0.25">
      <c r="A1122" s="33">
        <v>46052</v>
      </c>
      <c r="B1122" s="1">
        <v>187273</v>
      </c>
      <c r="C1122" s="2" t="s">
        <v>1446</v>
      </c>
      <c r="D1122" s="34">
        <v>-116551.61</v>
      </c>
      <c r="E1122" t="s">
        <v>20</v>
      </c>
      <c r="F1122" s="2" t="e">
        <f>VLOOKUP(Tabla3[[#This Row],[CONTABLE]],'SAPROV (2)'!L:M,2,FALSE)</f>
        <v>#N/A</v>
      </c>
      <c r="H1122" t="s">
        <v>1281</v>
      </c>
      <c r="I1122" s="2" t="str">
        <f>VLOOKUP(Tabla3[[#This Row],[Deposito]],'SAPROV (2)'!D:E,2,FALSE)</f>
        <v>07</v>
      </c>
      <c r="K1122" s="2" t="s">
        <v>101</v>
      </c>
      <c r="L1122" s="23" t="str">
        <f>VLOOKUP(Tabla3[[#This Row],[PROVEEDOR]],'SAPROV (2)'!A:B,2,FALSE)</f>
        <v>36</v>
      </c>
      <c r="M1122" t="str">
        <f>VLOOKUP(Tabla3[[#This Row],[SERVICIO]],'SAPROV (2)'!I:J,2,FALSE)</f>
        <v>SERV0011</v>
      </c>
      <c r="N1122" t="s">
        <v>927</v>
      </c>
      <c r="P1122">
        <f>VLOOKUP(Tabla3[[#This Row],[FECHA]],TASA[],2,FALSE)</f>
        <v>367.31</v>
      </c>
      <c r="Q1122" s="4">
        <f t="shared" si="109"/>
        <v>-317.31129019084699</v>
      </c>
      <c r="R1122" t="s">
        <v>1465</v>
      </c>
    </row>
    <row r="1123" spans="1:18" x14ac:dyDescent="0.25">
      <c r="A1123" s="33">
        <v>46052</v>
      </c>
      <c r="B1123" s="1">
        <v>187273</v>
      </c>
      <c r="C1123" s="2" t="s">
        <v>1361</v>
      </c>
      <c r="D1123" s="34">
        <v>-349.65</v>
      </c>
      <c r="E1123" t="s">
        <v>20</v>
      </c>
      <c r="F1123" s="2" t="e">
        <f>VLOOKUP(Tabla3[[#This Row],[CONTABLE]],'SAPROV (2)'!L:M,2,FALSE)</f>
        <v>#N/A</v>
      </c>
      <c r="H1123" t="s">
        <v>588</v>
      </c>
      <c r="I1123" s="2" t="str">
        <f>VLOOKUP(Tabla3[[#This Row],[Deposito]],'SAPROV (2)'!D:E,2,FALSE)</f>
        <v>A01</v>
      </c>
      <c r="K1123" s="23" t="s">
        <v>23</v>
      </c>
      <c r="L1123" s="2" t="str">
        <f>VLOOKUP(Tabla3[[#This Row],[PROVEEDOR]],'SAPROV (2)'!A:B,2,FALSE)</f>
        <v>04</v>
      </c>
      <c r="M1123" t="str">
        <f>VLOOKUP(Tabla3[[#This Row],[SERVICIO]],'SAPROV (2)'!I:J,2,FALSE)</f>
        <v>SERV0060</v>
      </c>
      <c r="N1123" t="s">
        <v>611</v>
      </c>
      <c r="P1123">
        <f>VLOOKUP(Tabla3[[#This Row],[FECHA]],TASA[],2,FALSE)</f>
        <v>367.31</v>
      </c>
      <c r="Q1123" s="4">
        <f t="shared" si="109"/>
        <v>-0.95192072091693658</v>
      </c>
      <c r="R1123" t="s">
        <v>1465</v>
      </c>
    </row>
    <row r="1124" spans="1:18" x14ac:dyDescent="0.25">
      <c r="A1124" s="33">
        <v>46052</v>
      </c>
      <c r="B1124" s="1">
        <v>187277</v>
      </c>
      <c r="C1124" s="2" t="s">
        <v>1447</v>
      </c>
      <c r="D1124" s="34">
        <v>-116551.61</v>
      </c>
      <c r="E1124" t="s">
        <v>20</v>
      </c>
      <c r="F1124" s="2" t="e">
        <f>VLOOKUP(Tabla3[[#This Row],[CONTABLE]],'SAPROV (2)'!L:M,2,FALSE)</f>
        <v>#N/A</v>
      </c>
      <c r="H1124" t="s">
        <v>1281</v>
      </c>
      <c r="I1124" s="2" t="str">
        <f>VLOOKUP(Tabla3[[#This Row],[Deposito]],'SAPROV (2)'!D:E,2,FALSE)</f>
        <v>07</v>
      </c>
      <c r="K1124" s="2" t="s">
        <v>101</v>
      </c>
      <c r="L1124" s="23" t="str">
        <f>VLOOKUP(Tabla3[[#This Row],[PROVEEDOR]],'SAPROV (2)'!A:B,2,FALSE)</f>
        <v>36</v>
      </c>
      <c r="M1124" t="str">
        <f>VLOOKUP(Tabla3[[#This Row],[SERVICIO]],'SAPROV (2)'!I:J,2,FALSE)</f>
        <v>SERV0011</v>
      </c>
      <c r="N1124" t="s">
        <v>927</v>
      </c>
      <c r="P1124">
        <f>VLOOKUP(Tabla3[[#This Row],[FECHA]],TASA[],2,FALSE)</f>
        <v>367.31</v>
      </c>
      <c r="Q1124" s="4">
        <f t="shared" si="109"/>
        <v>-317.31129019084699</v>
      </c>
      <c r="R1124" t="s">
        <v>1465</v>
      </c>
    </row>
    <row r="1125" spans="1:18" x14ac:dyDescent="0.25">
      <c r="A1125" s="33">
        <v>46052</v>
      </c>
      <c r="B1125" s="1">
        <v>187277</v>
      </c>
      <c r="C1125" s="2" t="s">
        <v>1363</v>
      </c>
      <c r="D1125" s="34">
        <v>-349.65</v>
      </c>
      <c r="E1125" t="s">
        <v>20</v>
      </c>
      <c r="F1125" s="2" t="e">
        <f>VLOOKUP(Tabla3[[#This Row],[CONTABLE]],'SAPROV (2)'!L:M,2,FALSE)</f>
        <v>#N/A</v>
      </c>
      <c r="H1125" t="s">
        <v>588</v>
      </c>
      <c r="I1125" s="2" t="str">
        <f>VLOOKUP(Tabla3[[#This Row],[Deposito]],'SAPROV (2)'!D:E,2,FALSE)</f>
        <v>A01</v>
      </c>
      <c r="K1125" s="23" t="s">
        <v>23</v>
      </c>
      <c r="L1125" s="23" t="str">
        <f>VLOOKUP(Tabla3[[#This Row],[PROVEEDOR]],'SAPROV (2)'!A:B,2,FALSE)</f>
        <v>04</v>
      </c>
      <c r="M1125" t="str">
        <f>VLOOKUP(Tabla3[[#This Row],[SERVICIO]],'SAPROV (2)'!I:J,2,FALSE)</f>
        <v>SERV0060</v>
      </c>
      <c r="N1125" t="s">
        <v>611</v>
      </c>
      <c r="P1125">
        <f>VLOOKUP(Tabla3[[#This Row],[FECHA]],TASA[],2,FALSE)</f>
        <v>367.31</v>
      </c>
      <c r="Q1125" s="4">
        <f t="shared" si="109"/>
        <v>-0.95192072091693658</v>
      </c>
      <c r="R1125" t="s">
        <v>1465</v>
      </c>
    </row>
    <row r="1126" spans="1:18" x14ac:dyDescent="0.25">
      <c r="A1126" s="33">
        <v>46052</v>
      </c>
      <c r="B1126" s="1">
        <v>187282</v>
      </c>
      <c r="C1126" s="2" t="s">
        <v>1448</v>
      </c>
      <c r="D1126" s="34">
        <v>-39348.19</v>
      </c>
      <c r="E1126" t="s">
        <v>20</v>
      </c>
      <c r="F1126" s="2" t="e">
        <f>VLOOKUP(Tabla3[[#This Row],[CONTABLE]],'SAPROV (2)'!L:M,2,FALSE)</f>
        <v>#N/A</v>
      </c>
      <c r="H1126" t="s">
        <v>1278</v>
      </c>
      <c r="I1126" s="2" t="str">
        <f>VLOOKUP(Tabla3[[#This Row],[Deposito]],'SAPROV (2)'!D:E,2,FALSE)</f>
        <v>06</v>
      </c>
      <c r="K1126" s="2" t="s">
        <v>101</v>
      </c>
      <c r="L1126" s="2" t="str">
        <f>VLOOKUP(Tabla3[[#This Row],[PROVEEDOR]],'SAPROV (2)'!A:B,2,FALSE)</f>
        <v>36</v>
      </c>
      <c r="M1126" t="str">
        <f>VLOOKUP(Tabla3[[#This Row],[SERVICIO]],'SAPROV (2)'!I:J,2,FALSE)</f>
        <v>SERV0011</v>
      </c>
      <c r="N1126" t="s">
        <v>927</v>
      </c>
      <c r="P1126">
        <f>VLOOKUP(Tabla3[[#This Row],[FECHA]],TASA[],2,FALSE)</f>
        <v>367.31</v>
      </c>
      <c r="Q1126" s="4">
        <f t="shared" si="109"/>
        <v>-107.12528926519833</v>
      </c>
      <c r="R1126" t="s">
        <v>1465</v>
      </c>
    </row>
    <row r="1127" spans="1:18" x14ac:dyDescent="0.25">
      <c r="A1127" s="33">
        <v>46052</v>
      </c>
      <c r="B1127" s="1">
        <v>187282</v>
      </c>
      <c r="C1127" s="2" t="s">
        <v>1365</v>
      </c>
      <c r="D1127" s="34">
        <v>-118.04</v>
      </c>
      <c r="E1127" t="s">
        <v>20</v>
      </c>
      <c r="F1127" s="2" t="e">
        <f>VLOOKUP(Tabla3[[#This Row],[CONTABLE]],'SAPROV (2)'!L:M,2,FALSE)</f>
        <v>#N/A</v>
      </c>
      <c r="H1127" t="s">
        <v>588</v>
      </c>
      <c r="I1127" s="2" t="str">
        <f>VLOOKUP(Tabla3[[#This Row],[Deposito]],'SAPROV (2)'!D:E,2,FALSE)</f>
        <v>A01</v>
      </c>
      <c r="K1127" s="23" t="s">
        <v>23</v>
      </c>
      <c r="L1127" s="23" t="str">
        <f>VLOOKUP(Tabla3[[#This Row],[PROVEEDOR]],'SAPROV (2)'!A:B,2,FALSE)</f>
        <v>04</v>
      </c>
      <c r="M1127" t="str">
        <f>VLOOKUP(Tabla3[[#This Row],[SERVICIO]],'SAPROV (2)'!I:J,2,FALSE)</f>
        <v>SERV0060</v>
      </c>
      <c r="N1127" t="s">
        <v>611</v>
      </c>
      <c r="P1127">
        <f>VLOOKUP(Tabla3[[#This Row],[FECHA]],TASA[],2,FALSE)</f>
        <v>367.31</v>
      </c>
      <c r="Q1127" s="4">
        <f t="shared" si="109"/>
        <v>-0.32136342598894668</v>
      </c>
      <c r="R1127" t="s">
        <v>1465</v>
      </c>
    </row>
    <row r="1128" spans="1:18" x14ac:dyDescent="0.25">
      <c r="A1128" s="33">
        <v>46052</v>
      </c>
      <c r="B1128" s="1">
        <v>187285</v>
      </c>
      <c r="C1128" s="2" t="s">
        <v>1449</v>
      </c>
      <c r="D1128" s="34">
        <v>-16241.75</v>
      </c>
      <c r="E1128" t="s">
        <v>20</v>
      </c>
      <c r="F1128" s="2" t="e">
        <f>VLOOKUP(Tabla3[[#This Row],[CONTABLE]],'SAPROV (2)'!L:M,2,FALSE)</f>
        <v>#N/A</v>
      </c>
      <c r="H1128" t="s">
        <v>1278</v>
      </c>
      <c r="I1128" s="2" t="str">
        <f>VLOOKUP(Tabla3[[#This Row],[Deposito]],'SAPROV (2)'!D:E,2,FALSE)</f>
        <v>06</v>
      </c>
      <c r="K1128" s="2" t="s">
        <v>101</v>
      </c>
      <c r="L1128" s="23" t="str">
        <f>VLOOKUP(Tabla3[[#This Row],[PROVEEDOR]],'SAPROV (2)'!A:B,2,FALSE)</f>
        <v>36</v>
      </c>
      <c r="M1128" t="str">
        <f>VLOOKUP(Tabla3[[#This Row],[SERVICIO]],'SAPROV (2)'!I:J,2,FALSE)</f>
        <v>SERV0011</v>
      </c>
      <c r="N1128" t="s">
        <v>927</v>
      </c>
      <c r="P1128">
        <f>VLOOKUP(Tabla3[[#This Row],[FECHA]],TASA[],2,FALSE)</f>
        <v>367.31</v>
      </c>
      <c r="Q1128" s="4">
        <f t="shared" si="109"/>
        <v>-44.218099153303747</v>
      </c>
      <c r="R1128" t="s">
        <v>1465</v>
      </c>
    </row>
    <row r="1129" spans="1:18" x14ac:dyDescent="0.25">
      <c r="A1129" s="33">
        <v>46052</v>
      </c>
      <c r="B1129" s="1">
        <v>187285</v>
      </c>
      <c r="C1129" s="2" t="s">
        <v>1367</v>
      </c>
      <c r="D1129" s="34">
        <v>-48.73</v>
      </c>
      <c r="E1129" t="s">
        <v>20</v>
      </c>
      <c r="F1129" s="2" t="e">
        <f>VLOOKUP(Tabla3[[#This Row],[CONTABLE]],'SAPROV (2)'!L:M,2,FALSE)</f>
        <v>#N/A</v>
      </c>
      <c r="H1129" t="s">
        <v>588</v>
      </c>
      <c r="I1129" s="2" t="str">
        <f>VLOOKUP(Tabla3[[#This Row],[Deposito]],'SAPROV (2)'!D:E,2,FALSE)</f>
        <v>A01</v>
      </c>
      <c r="K1129" s="23" t="s">
        <v>23</v>
      </c>
      <c r="L1129" s="2" t="str">
        <f>VLOOKUP(Tabla3[[#This Row],[PROVEEDOR]],'SAPROV (2)'!A:B,2,FALSE)</f>
        <v>04</v>
      </c>
      <c r="M1129" t="str">
        <f>VLOOKUP(Tabla3[[#This Row],[SERVICIO]],'SAPROV (2)'!I:J,2,FALSE)</f>
        <v>SERV0060</v>
      </c>
      <c r="N1129" t="s">
        <v>611</v>
      </c>
      <c r="P1129">
        <f>VLOOKUP(Tabla3[[#This Row],[FECHA]],TASA[],2,FALSE)</f>
        <v>367.31</v>
      </c>
      <c r="Q1129" s="4">
        <f t="shared" si="109"/>
        <v>-0.13266722931583674</v>
      </c>
      <c r="R1129" t="s">
        <v>1465</v>
      </c>
    </row>
    <row r="1130" spans="1:18" x14ac:dyDescent="0.25">
      <c r="A1130" s="33">
        <v>46052</v>
      </c>
      <c r="B1130" s="1">
        <v>187291</v>
      </c>
      <c r="C1130" s="2" t="s">
        <v>1450</v>
      </c>
      <c r="D1130" s="34">
        <v>-28590.240000000002</v>
      </c>
      <c r="E1130" t="s">
        <v>20</v>
      </c>
      <c r="F1130" s="2" t="e">
        <f>VLOOKUP(Tabla3[[#This Row],[CONTABLE]],'SAPROV (2)'!L:M,2,FALSE)</f>
        <v>#N/A</v>
      </c>
      <c r="H1130" t="s">
        <v>1281</v>
      </c>
      <c r="I1130" s="2" t="str">
        <f>VLOOKUP(Tabla3[[#This Row],[Deposito]],'SAPROV (2)'!D:E,2,FALSE)</f>
        <v>07</v>
      </c>
      <c r="K1130" s="2" t="s">
        <v>101</v>
      </c>
      <c r="L1130" s="23" t="str">
        <f>VLOOKUP(Tabla3[[#This Row],[PROVEEDOR]],'SAPROV (2)'!A:B,2,FALSE)</f>
        <v>36</v>
      </c>
      <c r="M1130" t="str">
        <f>VLOOKUP(Tabla3[[#This Row],[SERVICIO]],'SAPROV (2)'!I:J,2,FALSE)</f>
        <v>SERV0011</v>
      </c>
      <c r="N1130" t="s">
        <v>927</v>
      </c>
      <c r="P1130">
        <f>VLOOKUP(Tabla3[[#This Row],[FECHA]],TASA[],2,FALSE)</f>
        <v>367.31</v>
      </c>
      <c r="Q1130" s="4">
        <f t="shared" si="109"/>
        <v>-77.836813590699961</v>
      </c>
      <c r="R1130" t="s">
        <v>1465</v>
      </c>
    </row>
    <row r="1131" spans="1:18" x14ac:dyDescent="0.25">
      <c r="A1131" s="33">
        <v>46052</v>
      </c>
      <c r="B1131" s="1">
        <v>187291</v>
      </c>
      <c r="C1131" s="2" t="s">
        <v>1369</v>
      </c>
      <c r="D1131" s="34">
        <v>-85.77</v>
      </c>
      <c r="E1131" t="s">
        <v>20</v>
      </c>
      <c r="F1131" s="2" t="e">
        <f>VLOOKUP(Tabla3[[#This Row],[CONTABLE]],'SAPROV (2)'!L:M,2,FALSE)</f>
        <v>#N/A</v>
      </c>
      <c r="H1131" t="s">
        <v>588</v>
      </c>
      <c r="I1131" s="2" t="str">
        <f>VLOOKUP(Tabla3[[#This Row],[Deposito]],'SAPROV (2)'!D:E,2,FALSE)</f>
        <v>A01</v>
      </c>
      <c r="K1131" s="23" t="s">
        <v>23</v>
      </c>
      <c r="L1131" s="23" t="str">
        <f>VLOOKUP(Tabla3[[#This Row],[PROVEEDOR]],'SAPROV (2)'!A:B,2,FALSE)</f>
        <v>04</v>
      </c>
      <c r="M1131" t="str">
        <f>VLOOKUP(Tabla3[[#This Row],[SERVICIO]],'SAPROV (2)'!I:J,2,FALSE)</f>
        <v>SERV0060</v>
      </c>
      <c r="N1131" t="s">
        <v>611</v>
      </c>
      <c r="P1131">
        <f>VLOOKUP(Tabla3[[#This Row],[FECHA]],TASA[],2,FALSE)</f>
        <v>367.31</v>
      </c>
      <c r="Q1131" s="4">
        <f t="shared" si="109"/>
        <v>-0.23350848057499113</v>
      </c>
      <c r="R1131" t="s">
        <v>1465</v>
      </c>
    </row>
    <row r="1132" spans="1:18" x14ac:dyDescent="0.25">
      <c r="A1132" s="33">
        <v>46052</v>
      </c>
      <c r="B1132" s="1">
        <v>187296</v>
      </c>
      <c r="C1132" s="2" t="s">
        <v>1451</v>
      </c>
      <c r="D1132" s="34">
        <v>-17951.59</v>
      </c>
      <c r="E1132" t="s">
        <v>20</v>
      </c>
      <c r="F1132" s="2" t="e">
        <f>VLOOKUP(Tabla3[[#This Row],[CONTABLE]],'SAPROV (2)'!L:M,2,FALSE)</f>
        <v>#N/A</v>
      </c>
      <c r="H1132" t="s">
        <v>1278</v>
      </c>
      <c r="I1132" s="2" t="str">
        <f>VLOOKUP(Tabla3[[#This Row],[Deposito]],'SAPROV (2)'!D:E,2,FALSE)</f>
        <v>06</v>
      </c>
      <c r="K1132" s="2" t="s">
        <v>101</v>
      </c>
      <c r="L1132" s="2" t="str">
        <f>VLOOKUP(Tabla3[[#This Row],[PROVEEDOR]],'SAPROV (2)'!A:B,2,FALSE)</f>
        <v>36</v>
      </c>
      <c r="M1132" t="str">
        <f>VLOOKUP(Tabla3[[#This Row],[SERVICIO]],'SAPROV (2)'!I:J,2,FALSE)</f>
        <v>SERV0011</v>
      </c>
      <c r="N1132" t="s">
        <v>927</v>
      </c>
      <c r="P1132">
        <f>VLOOKUP(Tabla3[[#This Row],[FECHA]],TASA[],2,FALSE)</f>
        <v>367.31</v>
      </c>
      <c r="Q1132" s="4">
        <f t="shared" si="109"/>
        <v>-48.873131687130758</v>
      </c>
      <c r="R1132" t="s">
        <v>1465</v>
      </c>
    </row>
    <row r="1133" spans="1:18" x14ac:dyDescent="0.25">
      <c r="A1133" s="33">
        <v>46052</v>
      </c>
      <c r="B1133" s="1">
        <v>187296</v>
      </c>
      <c r="C1133" s="2" t="s">
        <v>1371</v>
      </c>
      <c r="D1133" s="34">
        <v>-53.85</v>
      </c>
      <c r="E1133" t="s">
        <v>20</v>
      </c>
      <c r="F1133" s="2" t="e">
        <f>VLOOKUP(Tabla3[[#This Row],[CONTABLE]],'SAPROV (2)'!L:M,2,FALSE)</f>
        <v>#N/A</v>
      </c>
      <c r="H1133" t="s">
        <v>588</v>
      </c>
      <c r="I1133" s="2" t="str">
        <f>VLOOKUP(Tabla3[[#This Row],[Deposito]],'SAPROV (2)'!D:E,2,FALSE)</f>
        <v>A01</v>
      </c>
      <c r="K1133" s="23" t="s">
        <v>23</v>
      </c>
      <c r="L1133" s="23" t="str">
        <f>VLOOKUP(Tabla3[[#This Row],[PROVEEDOR]],'SAPROV (2)'!A:B,2,FALSE)</f>
        <v>04</v>
      </c>
      <c r="M1133" t="str">
        <f>VLOOKUP(Tabla3[[#This Row],[SERVICIO]],'SAPROV (2)'!I:J,2,FALSE)</f>
        <v>SERV0060</v>
      </c>
      <c r="N1133" t="s">
        <v>611</v>
      </c>
      <c r="P1133">
        <f>VLOOKUP(Tabla3[[#This Row],[FECHA]],TASA[],2,FALSE)</f>
        <v>367.31</v>
      </c>
      <c r="Q1133" s="4">
        <f t="shared" si="109"/>
        <v>-0.14660640875554709</v>
      </c>
      <c r="R1133" t="s">
        <v>1465</v>
      </c>
    </row>
    <row r="1134" spans="1:18" x14ac:dyDescent="0.25">
      <c r="A1134" s="33">
        <v>46052</v>
      </c>
      <c r="B1134" s="1">
        <v>187301</v>
      </c>
      <c r="C1134" s="2" t="s">
        <v>1452</v>
      </c>
      <c r="D1134" s="34">
        <v>-32208.76</v>
      </c>
      <c r="E1134" t="s">
        <v>20</v>
      </c>
      <c r="F1134" s="2" t="e">
        <f>VLOOKUP(Tabla3[[#This Row],[CONTABLE]],'SAPROV (2)'!L:M,2,FALSE)</f>
        <v>#N/A</v>
      </c>
      <c r="H1134" t="s">
        <v>1280</v>
      </c>
      <c r="I1134" s="2" t="str">
        <f>VLOOKUP(Tabla3[[#This Row],[Deposito]],'SAPROV (2)'!D:E,2,FALSE)</f>
        <v>01</v>
      </c>
      <c r="K1134" s="2" t="s">
        <v>101</v>
      </c>
      <c r="L1134" s="23" t="str">
        <f>VLOOKUP(Tabla3[[#This Row],[PROVEEDOR]],'SAPROV (2)'!A:B,2,FALSE)</f>
        <v>36</v>
      </c>
      <c r="M1134" t="str">
        <f>VLOOKUP(Tabla3[[#This Row],[SERVICIO]],'SAPROV (2)'!I:J,2,FALSE)</f>
        <v>SERV0011</v>
      </c>
      <c r="N1134" t="s">
        <v>927</v>
      </c>
      <c r="P1134">
        <f>VLOOKUP(Tabla3[[#This Row],[FECHA]],TASA[],2,FALSE)</f>
        <v>367.31</v>
      </c>
      <c r="Q1134" s="4">
        <f t="shared" si="109"/>
        <v>-87.688219759875849</v>
      </c>
      <c r="R1134" t="s">
        <v>1465</v>
      </c>
    </row>
    <row r="1135" spans="1:18" x14ac:dyDescent="0.25">
      <c r="A1135" s="33">
        <v>46052</v>
      </c>
      <c r="B1135" s="1">
        <v>187301</v>
      </c>
      <c r="C1135" s="2" t="s">
        <v>1373</v>
      </c>
      <c r="D1135" s="34">
        <v>-96.63</v>
      </c>
      <c r="E1135" t="s">
        <v>20</v>
      </c>
      <c r="F1135" s="2" t="e">
        <f>VLOOKUP(Tabla3[[#This Row],[CONTABLE]],'SAPROV (2)'!L:M,2,FALSE)</f>
        <v>#N/A</v>
      </c>
      <c r="H1135" t="s">
        <v>588</v>
      </c>
      <c r="I1135" s="2" t="str">
        <f>VLOOKUP(Tabla3[[#This Row],[Deposito]],'SAPROV (2)'!D:E,2,FALSE)</f>
        <v>A01</v>
      </c>
      <c r="K1135" s="23" t="s">
        <v>23</v>
      </c>
      <c r="L1135" s="2" t="str">
        <f>VLOOKUP(Tabla3[[#This Row],[PROVEEDOR]],'SAPROV (2)'!A:B,2,FALSE)</f>
        <v>04</v>
      </c>
      <c r="M1135" t="str">
        <f>VLOOKUP(Tabla3[[#This Row],[SERVICIO]],'SAPROV (2)'!I:J,2,FALSE)</f>
        <v>SERV0060</v>
      </c>
      <c r="N1135" t="s">
        <v>611</v>
      </c>
      <c r="P1135">
        <f>VLOOKUP(Tabla3[[#This Row],[FECHA]],TASA[],2,FALSE)</f>
        <v>367.31</v>
      </c>
      <c r="Q1135" s="4">
        <f t="shared" si="109"/>
        <v>-0.26307478696468922</v>
      </c>
      <c r="R1135" t="s">
        <v>1465</v>
      </c>
    </row>
    <row r="1136" spans="1:18" x14ac:dyDescent="0.25">
      <c r="A1136" s="33">
        <v>46052</v>
      </c>
      <c r="B1136" s="1">
        <v>187305</v>
      </c>
      <c r="C1136" s="2" t="s">
        <v>1453</v>
      </c>
      <c r="D1136" s="34">
        <v>-32208.76</v>
      </c>
      <c r="E1136" t="s">
        <v>20</v>
      </c>
      <c r="F1136" s="2" t="e">
        <f>VLOOKUP(Tabla3[[#This Row],[CONTABLE]],'SAPROV (2)'!L:M,2,FALSE)</f>
        <v>#N/A</v>
      </c>
      <c r="H1136" t="s">
        <v>1274</v>
      </c>
      <c r="I1136" s="2" t="str">
        <f>VLOOKUP(Tabla3[[#This Row],[Deposito]],'SAPROV (2)'!D:E,2,FALSE)</f>
        <v>02</v>
      </c>
      <c r="K1136" s="2" t="s">
        <v>101</v>
      </c>
      <c r="L1136" s="23" t="str">
        <f>VLOOKUP(Tabla3[[#This Row],[PROVEEDOR]],'SAPROV (2)'!A:B,2,FALSE)</f>
        <v>36</v>
      </c>
      <c r="M1136" t="str">
        <f>VLOOKUP(Tabla3[[#This Row],[SERVICIO]],'SAPROV (2)'!I:J,2,FALSE)</f>
        <v>SERV0011</v>
      </c>
      <c r="N1136" t="s">
        <v>927</v>
      </c>
      <c r="P1136">
        <f>VLOOKUP(Tabla3[[#This Row],[FECHA]],TASA[],2,FALSE)</f>
        <v>367.31</v>
      </c>
      <c r="Q1136" s="4">
        <f t="shared" si="109"/>
        <v>-87.688219759875849</v>
      </c>
      <c r="R1136" t="s">
        <v>1465</v>
      </c>
    </row>
    <row r="1137" spans="1:18" x14ac:dyDescent="0.25">
      <c r="A1137" s="33">
        <v>46052</v>
      </c>
      <c r="B1137" s="1">
        <v>187305</v>
      </c>
      <c r="C1137" s="2" t="s">
        <v>1375</v>
      </c>
      <c r="D1137" s="34">
        <v>-96.63</v>
      </c>
      <c r="E1137" t="s">
        <v>20</v>
      </c>
      <c r="F1137" s="2" t="e">
        <f>VLOOKUP(Tabla3[[#This Row],[CONTABLE]],'SAPROV (2)'!L:M,2,FALSE)</f>
        <v>#N/A</v>
      </c>
      <c r="H1137" t="s">
        <v>588</v>
      </c>
      <c r="I1137" s="2" t="str">
        <f>VLOOKUP(Tabla3[[#This Row],[Deposito]],'SAPROV (2)'!D:E,2,FALSE)</f>
        <v>A01</v>
      </c>
      <c r="K1137" s="23" t="s">
        <v>23</v>
      </c>
      <c r="L1137" s="23" t="str">
        <f>VLOOKUP(Tabla3[[#This Row],[PROVEEDOR]],'SAPROV (2)'!A:B,2,FALSE)</f>
        <v>04</v>
      </c>
      <c r="M1137" t="str">
        <f>VLOOKUP(Tabla3[[#This Row],[SERVICIO]],'SAPROV (2)'!I:J,2,FALSE)</f>
        <v>SERV0060</v>
      </c>
      <c r="N1137" t="s">
        <v>611</v>
      </c>
      <c r="P1137">
        <f>VLOOKUP(Tabla3[[#This Row],[FECHA]],TASA[],2,FALSE)</f>
        <v>367.31</v>
      </c>
      <c r="Q1137" s="4">
        <f t="shared" si="109"/>
        <v>-0.26307478696468922</v>
      </c>
      <c r="R1137" t="s">
        <v>1465</v>
      </c>
    </row>
    <row r="1138" spans="1:18" x14ac:dyDescent="0.25">
      <c r="A1138" s="33">
        <v>46052</v>
      </c>
      <c r="B1138" s="1">
        <v>187306</v>
      </c>
      <c r="C1138" s="2" t="s">
        <v>1454</v>
      </c>
      <c r="D1138" s="34">
        <v>-32208.76</v>
      </c>
      <c r="E1138" t="s">
        <v>20</v>
      </c>
      <c r="F1138" s="2" t="e">
        <f>VLOOKUP(Tabla3[[#This Row],[CONTABLE]],'SAPROV (2)'!L:M,2,FALSE)</f>
        <v>#N/A</v>
      </c>
      <c r="H1138" t="s">
        <v>1280</v>
      </c>
      <c r="I1138" s="2" t="str">
        <f>VLOOKUP(Tabla3[[#This Row],[Deposito]],'SAPROV (2)'!D:E,2,FALSE)</f>
        <v>01</v>
      </c>
      <c r="K1138" s="2" t="s">
        <v>101</v>
      </c>
      <c r="L1138" s="2" t="str">
        <f>VLOOKUP(Tabla3[[#This Row],[PROVEEDOR]],'SAPROV (2)'!A:B,2,FALSE)</f>
        <v>36</v>
      </c>
      <c r="M1138" t="str">
        <f>VLOOKUP(Tabla3[[#This Row],[SERVICIO]],'SAPROV (2)'!I:J,2,FALSE)</f>
        <v>SERV0011</v>
      </c>
      <c r="N1138" t="s">
        <v>927</v>
      </c>
      <c r="P1138">
        <f>VLOOKUP(Tabla3[[#This Row],[FECHA]],TASA[],2,FALSE)</f>
        <v>367.31</v>
      </c>
      <c r="Q1138" s="4">
        <f t="shared" si="109"/>
        <v>-87.688219759875849</v>
      </c>
      <c r="R1138" t="s">
        <v>1465</v>
      </c>
    </row>
    <row r="1139" spans="1:18" x14ac:dyDescent="0.25">
      <c r="A1139" s="33">
        <v>46052</v>
      </c>
      <c r="B1139" s="1">
        <v>187306</v>
      </c>
      <c r="C1139" s="2" t="s">
        <v>1377</v>
      </c>
      <c r="D1139" s="34">
        <v>-96.63</v>
      </c>
      <c r="E1139" t="s">
        <v>20</v>
      </c>
      <c r="F1139" s="2" t="e">
        <f>VLOOKUP(Tabla3[[#This Row],[CONTABLE]],'SAPROV (2)'!L:M,2,FALSE)</f>
        <v>#N/A</v>
      </c>
      <c r="H1139" t="s">
        <v>588</v>
      </c>
      <c r="I1139" s="2" t="str">
        <f>VLOOKUP(Tabla3[[#This Row],[Deposito]],'SAPROV (2)'!D:E,2,FALSE)</f>
        <v>A01</v>
      </c>
      <c r="K1139" s="23" t="s">
        <v>23</v>
      </c>
      <c r="L1139" s="23" t="str">
        <f>VLOOKUP(Tabla3[[#This Row],[PROVEEDOR]],'SAPROV (2)'!A:B,2,FALSE)</f>
        <v>04</v>
      </c>
      <c r="M1139" t="str">
        <f>VLOOKUP(Tabla3[[#This Row],[SERVICIO]],'SAPROV (2)'!I:J,2,FALSE)</f>
        <v>SERV0060</v>
      </c>
      <c r="N1139" t="s">
        <v>611</v>
      </c>
      <c r="P1139">
        <f>VLOOKUP(Tabla3[[#This Row],[FECHA]],TASA[],2,FALSE)</f>
        <v>367.31</v>
      </c>
      <c r="Q1139" s="4">
        <f t="shared" si="109"/>
        <v>-0.26307478696468922</v>
      </c>
      <c r="R1139" t="s">
        <v>1465</v>
      </c>
    </row>
    <row r="1140" spans="1:18" x14ac:dyDescent="0.25">
      <c r="A1140" s="33">
        <v>46035</v>
      </c>
      <c r="B1140" s="1">
        <v>73466</v>
      </c>
      <c r="C1140" s="2" t="s">
        <v>1455</v>
      </c>
      <c r="D1140" s="34">
        <v>-15973.87</v>
      </c>
      <c r="E1140" t="s">
        <v>20</v>
      </c>
      <c r="F1140" s="2" t="e">
        <f>VLOOKUP(Tabla3[[#This Row],[CONTABLE]],'SAPROV (2)'!L:M,2,FALSE)</f>
        <v>#N/A</v>
      </c>
      <c r="H1140" t="s">
        <v>1281</v>
      </c>
      <c r="I1140" s="2" t="str">
        <f>VLOOKUP(Tabla3[[#This Row],[Deposito]],'SAPROV (2)'!D:E,2,FALSE)</f>
        <v>07</v>
      </c>
      <c r="K1140" s="2" t="s">
        <v>101</v>
      </c>
      <c r="L1140" s="23" t="str">
        <f>VLOOKUP(Tabla3[[#This Row],[PROVEEDOR]],'SAPROV (2)'!A:B,2,FALSE)</f>
        <v>36</v>
      </c>
      <c r="M1140" t="str">
        <f>VLOOKUP(Tabla3[[#This Row],[SERVICIO]],'SAPROV (2)'!I:J,2,FALSE)</f>
        <v>SERV0011</v>
      </c>
      <c r="N1140" t="s">
        <v>927</v>
      </c>
      <c r="P1140">
        <f>VLOOKUP(Tabla3[[#This Row],[FECHA]],TASA[],2,FALSE)</f>
        <v>330.38</v>
      </c>
      <c r="Q1140" s="4">
        <f t="shared" si="109"/>
        <v>-48.349990919547189</v>
      </c>
      <c r="R1140" t="s">
        <v>1465</v>
      </c>
    </row>
    <row r="1141" spans="1:18" x14ac:dyDescent="0.25">
      <c r="A1141" s="33">
        <v>46052</v>
      </c>
      <c r="B1141" s="1">
        <v>187310</v>
      </c>
      <c r="C1141" s="2" t="s">
        <v>1379</v>
      </c>
      <c r="D1141" s="34">
        <v>-42.4</v>
      </c>
      <c r="E1141" t="s">
        <v>20</v>
      </c>
      <c r="F1141" s="2" t="e">
        <f>VLOOKUP(Tabla3[[#This Row],[CONTABLE]],'SAPROV (2)'!L:M,2,FALSE)</f>
        <v>#N/A</v>
      </c>
      <c r="H1141" t="s">
        <v>588</v>
      </c>
      <c r="I1141" s="2" t="str">
        <f>VLOOKUP(Tabla3[[#This Row],[Deposito]],'SAPROV (2)'!D:E,2,FALSE)</f>
        <v>A01</v>
      </c>
      <c r="K1141" s="23" t="s">
        <v>23</v>
      </c>
      <c r="L1141" s="2" t="str">
        <f>VLOOKUP(Tabla3[[#This Row],[PROVEEDOR]],'SAPROV (2)'!A:B,2,FALSE)</f>
        <v>04</v>
      </c>
      <c r="M1141" t="str">
        <f>VLOOKUP(Tabla3[[#This Row],[SERVICIO]],'SAPROV (2)'!I:J,2,FALSE)</f>
        <v>SERV0060</v>
      </c>
      <c r="N1141" t="s">
        <v>611</v>
      </c>
      <c r="P1141">
        <f>VLOOKUP(Tabla3[[#This Row],[FECHA]],TASA[],2,FALSE)</f>
        <v>367.31</v>
      </c>
      <c r="Q1141" s="4">
        <f t="shared" si="109"/>
        <v>-0.11543382973510113</v>
      </c>
      <c r="R1141" t="s">
        <v>1465</v>
      </c>
    </row>
    <row r="1142" spans="1:18" x14ac:dyDescent="0.25">
      <c r="A1142" s="33">
        <v>46052</v>
      </c>
      <c r="B1142" s="1">
        <v>187316</v>
      </c>
      <c r="C1142" s="2" t="s">
        <v>1456</v>
      </c>
      <c r="D1142" s="34">
        <v>-68357.759999999995</v>
      </c>
      <c r="E1142" t="s">
        <v>20</v>
      </c>
      <c r="F1142" s="2" t="e">
        <f>VLOOKUP(Tabla3[[#This Row],[CONTABLE]],'SAPROV (2)'!L:M,2,FALSE)</f>
        <v>#N/A</v>
      </c>
      <c r="H1142" t="s">
        <v>1280</v>
      </c>
      <c r="I1142" s="2" t="str">
        <f>VLOOKUP(Tabla3[[#This Row],[Deposito]],'SAPROV (2)'!D:E,2,FALSE)</f>
        <v>01</v>
      </c>
      <c r="K1142" s="2" t="s">
        <v>101</v>
      </c>
      <c r="L1142" s="23" t="str">
        <f>VLOOKUP(Tabla3[[#This Row],[PROVEEDOR]],'SAPROV (2)'!A:B,2,FALSE)</f>
        <v>36</v>
      </c>
      <c r="M1142" t="str">
        <f>VLOOKUP(Tabla3[[#This Row],[SERVICIO]],'SAPROV (2)'!I:J,2,FALSE)</f>
        <v>SERV0011</v>
      </c>
      <c r="N1142" t="s">
        <v>927</v>
      </c>
      <c r="P1142">
        <f>VLOOKUP(Tabla3[[#This Row],[FECHA]],TASA[],2,FALSE)</f>
        <v>367.31</v>
      </c>
      <c r="Q1142" s="4">
        <f t="shared" si="109"/>
        <v>-186.10372709700252</v>
      </c>
      <c r="R1142" t="s">
        <v>1465</v>
      </c>
    </row>
    <row r="1143" spans="1:18" x14ac:dyDescent="0.25">
      <c r="A1143" s="33">
        <v>46052</v>
      </c>
      <c r="B1143" s="1">
        <v>187316</v>
      </c>
      <c r="C1143" s="2" t="s">
        <v>1381</v>
      </c>
      <c r="D1143" s="34">
        <v>-205.07</v>
      </c>
      <c r="E1143" t="s">
        <v>20</v>
      </c>
      <c r="F1143" s="2" t="e">
        <f>VLOOKUP(Tabla3[[#This Row],[CONTABLE]],'SAPROV (2)'!L:M,2,FALSE)</f>
        <v>#N/A</v>
      </c>
      <c r="H1143" t="s">
        <v>588</v>
      </c>
      <c r="I1143" s="2" t="str">
        <f>VLOOKUP(Tabla3[[#This Row],[Deposito]],'SAPROV (2)'!D:E,2,FALSE)</f>
        <v>A01</v>
      </c>
      <c r="K1143" s="23" t="s">
        <v>23</v>
      </c>
      <c r="L1143" s="23" t="str">
        <f>VLOOKUP(Tabla3[[#This Row],[PROVEEDOR]],'SAPROV (2)'!A:B,2,FALSE)</f>
        <v>04</v>
      </c>
      <c r="M1143" t="str">
        <f>VLOOKUP(Tabla3[[#This Row],[SERVICIO]],'SAPROV (2)'!I:J,2,FALSE)</f>
        <v>SERV0060</v>
      </c>
      <c r="N1143" t="s">
        <v>611</v>
      </c>
      <c r="P1143">
        <f>VLOOKUP(Tabla3[[#This Row],[FECHA]],TASA[],2,FALSE)</f>
        <v>367.31</v>
      </c>
      <c r="Q1143" s="4">
        <f t="shared" si="109"/>
        <v>-0.558302251504179</v>
      </c>
      <c r="R1143" t="s">
        <v>1465</v>
      </c>
    </row>
    <row r="1144" spans="1:18" x14ac:dyDescent="0.25">
      <c r="A1144" s="33">
        <v>46052</v>
      </c>
      <c r="B1144" s="1">
        <v>187320</v>
      </c>
      <c r="C1144" s="2" t="s">
        <v>1457</v>
      </c>
      <c r="D1144" s="34">
        <v>-23771.58</v>
      </c>
      <c r="E1144" t="s">
        <v>20</v>
      </c>
      <c r="F1144" s="2" t="e">
        <f>VLOOKUP(Tabla3[[#This Row],[CONTABLE]],'SAPROV (2)'!L:M,2,FALSE)</f>
        <v>#N/A</v>
      </c>
      <c r="H1144" t="s">
        <v>1281</v>
      </c>
      <c r="I1144" s="2" t="str">
        <f>VLOOKUP(Tabla3[[#This Row],[Deposito]],'SAPROV (2)'!D:E,2,FALSE)</f>
        <v>07</v>
      </c>
      <c r="K1144" s="2" t="s">
        <v>101</v>
      </c>
      <c r="L1144" s="2" t="str">
        <f>VLOOKUP(Tabla3[[#This Row],[PROVEEDOR]],'SAPROV (2)'!A:B,2,FALSE)</f>
        <v>36</v>
      </c>
      <c r="M1144" t="str">
        <f>VLOOKUP(Tabla3[[#This Row],[SERVICIO]],'SAPROV (2)'!I:J,2,FALSE)</f>
        <v>SERV0011</v>
      </c>
      <c r="N1144" t="s">
        <v>927</v>
      </c>
      <c r="P1144">
        <f>VLOOKUP(Tabla3[[#This Row],[FECHA]],TASA[],2,FALSE)</f>
        <v>367.31</v>
      </c>
      <c r="Q1144" s="4">
        <f t="shared" si="109"/>
        <v>-64.718031090904148</v>
      </c>
      <c r="R1144" t="s">
        <v>1465</v>
      </c>
    </row>
    <row r="1145" spans="1:18" x14ac:dyDescent="0.25">
      <c r="A1145" s="33">
        <v>46052</v>
      </c>
      <c r="B1145" s="1">
        <v>187320</v>
      </c>
      <c r="C1145" s="2" t="s">
        <v>1383</v>
      </c>
      <c r="D1145" s="34">
        <v>-71.31</v>
      </c>
      <c r="E1145" t="s">
        <v>20</v>
      </c>
      <c r="F1145" s="2" t="e">
        <f>VLOOKUP(Tabla3[[#This Row],[CONTABLE]],'SAPROV (2)'!L:M,2,FALSE)</f>
        <v>#N/A</v>
      </c>
      <c r="H1145" t="s">
        <v>588</v>
      </c>
      <c r="I1145" s="2" t="str">
        <f>VLOOKUP(Tabla3[[#This Row],[Deposito]],'SAPROV (2)'!D:E,2,FALSE)</f>
        <v>A01</v>
      </c>
      <c r="K1145" s="23" t="s">
        <v>23</v>
      </c>
      <c r="L1145" s="23" t="str">
        <f>VLOOKUP(Tabla3[[#This Row],[PROVEEDOR]],'SAPROV (2)'!A:B,2,FALSE)</f>
        <v>04</v>
      </c>
      <c r="M1145" t="str">
        <f>VLOOKUP(Tabla3[[#This Row],[SERVICIO]],'SAPROV (2)'!I:J,2,FALSE)</f>
        <v>SERV0060</v>
      </c>
      <c r="N1145" t="s">
        <v>611</v>
      </c>
      <c r="P1145">
        <f>VLOOKUP(Tabla3[[#This Row],[FECHA]],TASA[],2,FALSE)</f>
        <v>367.31</v>
      </c>
      <c r="Q1145" s="4">
        <f t="shared" si="109"/>
        <v>-0.19414118864174676</v>
      </c>
      <c r="R1145" t="s">
        <v>1465</v>
      </c>
    </row>
    <row r="1146" spans="1:18" x14ac:dyDescent="0.25">
      <c r="A1146" s="33">
        <v>46052</v>
      </c>
      <c r="B1146" s="1">
        <v>187336</v>
      </c>
      <c r="C1146" s="2" t="s">
        <v>1458</v>
      </c>
      <c r="D1146" s="34">
        <v>-13407.66</v>
      </c>
      <c r="E1146" t="s">
        <v>20</v>
      </c>
      <c r="F1146" s="2" t="e">
        <f>VLOOKUP(Tabla3[[#This Row],[CONTABLE]],'SAPROV (2)'!L:M,2,FALSE)</f>
        <v>#N/A</v>
      </c>
      <c r="H1146" t="s">
        <v>1278</v>
      </c>
      <c r="I1146" s="2" t="str">
        <f>VLOOKUP(Tabla3[[#This Row],[Deposito]],'SAPROV (2)'!D:E,2,FALSE)</f>
        <v>06</v>
      </c>
      <c r="K1146" s="2" t="s">
        <v>101</v>
      </c>
      <c r="L1146" s="23" t="str">
        <f>VLOOKUP(Tabla3[[#This Row],[PROVEEDOR]],'SAPROV (2)'!A:B,2,FALSE)</f>
        <v>36</v>
      </c>
      <c r="M1146" t="str">
        <f>VLOOKUP(Tabla3[[#This Row],[SERVICIO]],'SAPROV (2)'!I:J,2,FALSE)</f>
        <v>SERV0011</v>
      </c>
      <c r="N1146" t="s">
        <v>927</v>
      </c>
      <c r="P1146">
        <f>VLOOKUP(Tabla3[[#This Row],[FECHA]],TASA[],2,FALSE)</f>
        <v>367.31</v>
      </c>
      <c r="Q1146" s="4">
        <f t="shared" si="109"/>
        <v>-36.502300509106746</v>
      </c>
      <c r="R1146" t="s">
        <v>1465</v>
      </c>
    </row>
    <row r="1147" spans="1:18" x14ac:dyDescent="0.25">
      <c r="A1147" s="33">
        <v>46052</v>
      </c>
      <c r="B1147" s="1">
        <v>187336</v>
      </c>
      <c r="C1147" s="2" t="s">
        <v>1385</v>
      </c>
      <c r="D1147" s="34">
        <v>-40.22</v>
      </c>
      <c r="E1147" t="s">
        <v>20</v>
      </c>
      <c r="F1147" s="2" t="e">
        <f>VLOOKUP(Tabla3[[#This Row],[CONTABLE]],'SAPROV (2)'!L:M,2,FALSE)</f>
        <v>#N/A</v>
      </c>
      <c r="H1147" t="s">
        <v>588</v>
      </c>
      <c r="I1147" s="2" t="str">
        <f>VLOOKUP(Tabla3[[#This Row],[Deposito]],'SAPROV (2)'!D:E,2,FALSE)</f>
        <v>A01</v>
      </c>
      <c r="K1147" s="23" t="s">
        <v>23</v>
      </c>
      <c r="L1147" s="2" t="str">
        <f>VLOOKUP(Tabla3[[#This Row],[PROVEEDOR]],'SAPROV (2)'!A:B,2,FALSE)</f>
        <v>04</v>
      </c>
      <c r="M1147" t="str">
        <f>VLOOKUP(Tabla3[[#This Row],[SERVICIO]],'SAPROV (2)'!I:J,2,FALSE)</f>
        <v>SERV0060</v>
      </c>
      <c r="N1147" t="s">
        <v>611</v>
      </c>
      <c r="P1147">
        <f>VLOOKUP(Tabla3[[#This Row],[FECHA]],TASA[],2,FALSE)</f>
        <v>367.31</v>
      </c>
      <c r="Q1147" s="4">
        <f t="shared" si="109"/>
        <v>-0.10949878848928697</v>
      </c>
      <c r="R1147" t="s">
        <v>1465</v>
      </c>
    </row>
    <row r="1148" spans="1:18" x14ac:dyDescent="0.25">
      <c r="A1148" s="33">
        <v>46052</v>
      </c>
      <c r="B1148" s="1">
        <v>300011</v>
      </c>
      <c r="C1148" s="2" t="s">
        <v>1414</v>
      </c>
      <c r="D1148" s="34">
        <v>-14459.6</v>
      </c>
      <c r="E1148" t="s">
        <v>20</v>
      </c>
      <c r="F1148" s="2" t="e">
        <f>VLOOKUP(Tabla3[[#This Row],[CONTABLE]],'SAPROV (2)'!L:M,2,FALSE)</f>
        <v>#N/A</v>
      </c>
      <c r="H1148" t="s">
        <v>1280</v>
      </c>
      <c r="I1148" s="2" t="str">
        <f>VLOOKUP(Tabla3[[#This Row],[Deposito]],'SAPROV (2)'!D:E,2,FALSE)</f>
        <v>01</v>
      </c>
      <c r="K1148" s="2" t="s">
        <v>101</v>
      </c>
      <c r="L1148" s="23" t="str">
        <f>VLOOKUP(Tabla3[[#This Row],[PROVEEDOR]],'SAPROV (2)'!A:B,2,FALSE)</f>
        <v>36</v>
      </c>
      <c r="M1148" t="str">
        <f>VLOOKUP(Tabla3[[#This Row],[SERVICIO]],'SAPROV (2)'!I:J,2,FALSE)</f>
        <v>SERV0011</v>
      </c>
      <c r="N1148" t="s">
        <v>927</v>
      </c>
      <c r="P1148">
        <f>VLOOKUP(Tabla3[[#This Row],[FECHA]],TASA[],2,FALSE)</f>
        <v>367.31</v>
      </c>
      <c r="Q1148" s="4">
        <f t="shared" si="109"/>
        <v>-39.366202934850669</v>
      </c>
      <c r="R1148" t="s">
        <v>1465</v>
      </c>
    </row>
    <row r="1149" spans="1:18" x14ac:dyDescent="0.25">
      <c r="A1149" s="33">
        <v>46052</v>
      </c>
      <c r="B1149" s="1">
        <v>300011</v>
      </c>
      <c r="C1149" s="2" t="s">
        <v>1414</v>
      </c>
      <c r="D1149" s="34">
        <v>-14459.6</v>
      </c>
      <c r="E1149" t="s">
        <v>20</v>
      </c>
      <c r="F1149" s="2" t="e">
        <f>VLOOKUP(Tabla3[[#This Row],[CONTABLE]],'SAPROV (2)'!L:M,2,FALSE)</f>
        <v>#N/A</v>
      </c>
      <c r="H1149" t="s">
        <v>1280</v>
      </c>
      <c r="I1149" s="2" t="str">
        <f>VLOOKUP(Tabla3[[#This Row],[Deposito]],'SAPROV (2)'!D:E,2,FALSE)</f>
        <v>01</v>
      </c>
      <c r="K1149" s="2" t="s">
        <v>101</v>
      </c>
      <c r="L1149" s="23" t="str">
        <f>VLOOKUP(Tabla3[[#This Row],[PROVEEDOR]],'SAPROV (2)'!A:B,2,FALSE)</f>
        <v>36</v>
      </c>
      <c r="M1149" t="str">
        <f>VLOOKUP(Tabla3[[#This Row],[SERVICIO]],'SAPROV (2)'!I:J,2,FALSE)</f>
        <v>SERV0011</v>
      </c>
      <c r="N1149" t="s">
        <v>927</v>
      </c>
      <c r="P1149">
        <f>VLOOKUP(Tabla3[[#This Row],[FECHA]],TASA[],2,FALSE)</f>
        <v>367.31</v>
      </c>
      <c r="Q1149" s="4">
        <f t="shared" si="109"/>
        <v>-39.366202934850669</v>
      </c>
      <c r="R1149" t="s">
        <v>1465</v>
      </c>
    </row>
    <row r="1150" spans="1:18" x14ac:dyDescent="0.25">
      <c r="A1150" s="33">
        <v>46052</v>
      </c>
      <c r="B1150" s="1">
        <v>300011</v>
      </c>
      <c r="C1150" s="2" t="s">
        <v>1459</v>
      </c>
      <c r="D1150" s="34">
        <v>-90372.5</v>
      </c>
      <c r="E1150" t="s">
        <v>20</v>
      </c>
      <c r="F1150" s="2" t="e">
        <f>VLOOKUP(Tabla3[[#This Row],[CONTABLE]],'SAPROV (2)'!L:M,2,FALSE)</f>
        <v>#N/A</v>
      </c>
      <c r="H1150" t="s">
        <v>588</v>
      </c>
      <c r="I1150" s="2" t="str">
        <f>VLOOKUP(Tabla3[[#This Row],[Deposito]],'SAPROV (2)'!D:E,2,FALSE)</f>
        <v>A01</v>
      </c>
      <c r="K1150" s="2" t="s">
        <v>101</v>
      </c>
      <c r="L1150" s="2" t="str">
        <f>VLOOKUP(Tabla3[[#This Row],[PROVEEDOR]],'SAPROV (2)'!A:B,2,FALSE)</f>
        <v>36</v>
      </c>
      <c r="M1150" t="str">
        <f>VLOOKUP(Tabla3[[#This Row],[SERVICIO]],'SAPROV (2)'!I:J,2,FALSE)</f>
        <v>SERV0011</v>
      </c>
      <c r="N1150" t="s">
        <v>927</v>
      </c>
      <c r="P1150">
        <f>VLOOKUP(Tabla3[[#This Row],[FECHA]],TASA[],2,FALSE)</f>
        <v>367.31</v>
      </c>
      <c r="Q1150" s="4">
        <f t="shared" si="109"/>
        <v>-246.0387683428167</v>
      </c>
      <c r="R1150" t="s">
        <v>1465</v>
      </c>
    </row>
    <row r="1151" spans="1:18" x14ac:dyDescent="0.25">
      <c r="A1151" s="33">
        <v>46052</v>
      </c>
      <c r="B1151" s="1">
        <v>300011</v>
      </c>
      <c r="C1151" s="2" t="s">
        <v>1460</v>
      </c>
      <c r="D1151" s="34">
        <v>-16982.8</v>
      </c>
      <c r="E1151" t="s">
        <v>20</v>
      </c>
      <c r="F1151" s="2" t="e">
        <f>VLOOKUP(Tabla3[[#This Row],[CONTABLE]],'SAPROV (2)'!L:M,2,FALSE)</f>
        <v>#N/A</v>
      </c>
      <c r="H1151" t="s">
        <v>1278</v>
      </c>
      <c r="I1151" s="2" t="str">
        <f>VLOOKUP(Tabla3[[#This Row],[Deposito]],'SAPROV (2)'!D:E,2,FALSE)</f>
        <v>06</v>
      </c>
      <c r="K1151" s="2" t="s">
        <v>101</v>
      </c>
      <c r="L1151" s="23" t="str">
        <f>VLOOKUP(Tabla3[[#This Row],[PROVEEDOR]],'SAPROV (2)'!A:B,2,FALSE)</f>
        <v>36</v>
      </c>
      <c r="M1151" t="str">
        <f>VLOOKUP(Tabla3[[#This Row],[SERVICIO]],'SAPROV (2)'!I:J,2,FALSE)</f>
        <v>SERV0011</v>
      </c>
      <c r="N1151" t="s">
        <v>927</v>
      </c>
      <c r="P1151">
        <f>VLOOKUP(Tabla3[[#This Row],[FECHA]],TASA[],2,FALSE)</f>
        <v>367.31</v>
      </c>
      <c r="Q1151" s="4">
        <f t="shared" si="109"/>
        <v>-46.235604802482911</v>
      </c>
      <c r="R1151" t="s">
        <v>1465</v>
      </c>
    </row>
    <row r="1152" spans="1:18" x14ac:dyDescent="0.25">
      <c r="A1152" s="33">
        <v>46052</v>
      </c>
      <c r="B1152" s="1">
        <v>300011</v>
      </c>
      <c r="C1152" s="2" t="s">
        <v>1461</v>
      </c>
      <c r="D1152" s="34">
        <v>-14315</v>
      </c>
      <c r="E1152" t="s">
        <v>20</v>
      </c>
      <c r="F1152" s="2" t="e">
        <f>VLOOKUP(Tabla3[[#This Row],[CONTABLE]],'SAPROV (2)'!L:M,2,FALSE)</f>
        <v>#N/A</v>
      </c>
      <c r="H1152" t="s">
        <v>1280</v>
      </c>
      <c r="I1152" s="2" t="str">
        <f>VLOOKUP(Tabla3[[#This Row],[Deposito]],'SAPROV (2)'!D:E,2,FALSE)</f>
        <v>01</v>
      </c>
      <c r="K1152" s="2" t="s">
        <v>101</v>
      </c>
      <c r="L1152" s="23" t="str">
        <f>VLOOKUP(Tabla3[[#This Row],[PROVEEDOR]],'SAPROV (2)'!A:B,2,FALSE)</f>
        <v>36</v>
      </c>
      <c r="M1152" t="str">
        <f>VLOOKUP(Tabla3[[#This Row],[SERVICIO]],'SAPROV (2)'!I:J,2,FALSE)</f>
        <v>SERV0011</v>
      </c>
      <c r="N1152" t="s">
        <v>927</v>
      </c>
      <c r="P1152">
        <f>VLOOKUP(Tabla3[[#This Row],[FECHA]],TASA[],2,FALSE)</f>
        <v>367.31</v>
      </c>
      <c r="Q1152" s="4">
        <f t="shared" si="109"/>
        <v>-38.972530015518224</v>
      </c>
      <c r="R1152" t="s">
        <v>1465</v>
      </c>
    </row>
    <row r="1153" spans="1:18" x14ac:dyDescent="0.25">
      <c r="A1153" s="33">
        <v>46052</v>
      </c>
      <c r="B1153" s="1">
        <v>310216</v>
      </c>
      <c r="C1153" s="2" t="s">
        <v>1462</v>
      </c>
      <c r="D1153" s="34">
        <v>-107886.29</v>
      </c>
      <c r="E1153" t="s">
        <v>20</v>
      </c>
      <c r="F1153" s="2" t="e">
        <f>VLOOKUP(Tabla3[[#This Row],[CONTABLE]],'SAPROV (2)'!L:M,2,FALSE)</f>
        <v>#N/A</v>
      </c>
      <c r="H1153" t="s">
        <v>1281</v>
      </c>
      <c r="I1153" s="2" t="str">
        <f>VLOOKUP(Tabla3[[#This Row],[Deposito]],'SAPROV (2)'!D:E,2,FALSE)</f>
        <v>07</v>
      </c>
      <c r="K1153" s="2" t="s">
        <v>101</v>
      </c>
      <c r="L1153" s="2" t="str">
        <f>VLOOKUP(Tabla3[[#This Row],[PROVEEDOR]],'SAPROV (2)'!A:B,2,FALSE)</f>
        <v>36</v>
      </c>
      <c r="M1153" t="str">
        <f>VLOOKUP(Tabla3[[#This Row],[SERVICIO]],'SAPROV (2)'!I:J,2,FALSE)</f>
        <v>SERV0011</v>
      </c>
      <c r="N1153" t="s">
        <v>927</v>
      </c>
      <c r="P1153">
        <f>VLOOKUP(Tabla3[[#This Row],[FECHA]],TASA[],2,FALSE)</f>
        <v>367.31</v>
      </c>
      <c r="Q1153" s="4">
        <f t="shared" si="109"/>
        <v>-293.71999128801281</v>
      </c>
      <c r="R1153" t="s">
        <v>1465</v>
      </c>
    </row>
    <row r="1154" spans="1:18" x14ac:dyDescent="0.25">
      <c r="A1154" s="33">
        <v>46052</v>
      </c>
      <c r="B1154" s="1">
        <v>310216</v>
      </c>
      <c r="C1154" s="2" t="s">
        <v>1324</v>
      </c>
      <c r="D1154" s="34">
        <v>-323.66000000000003</v>
      </c>
      <c r="E1154" t="s">
        <v>20</v>
      </c>
      <c r="F1154" s="2" t="e">
        <f>VLOOKUP(Tabla3[[#This Row],[CONTABLE]],'SAPROV (2)'!L:M,2,FALSE)</f>
        <v>#N/A</v>
      </c>
      <c r="H1154" t="s">
        <v>588</v>
      </c>
      <c r="I1154" s="2" t="str">
        <f>VLOOKUP(Tabla3[[#This Row],[Deposito]],'SAPROV (2)'!D:E,2,FALSE)</f>
        <v>A01</v>
      </c>
      <c r="K1154" s="23" t="s">
        <v>23</v>
      </c>
      <c r="L1154" s="23" t="str">
        <f>VLOOKUP(Tabla3[[#This Row],[PROVEEDOR]],'SAPROV (2)'!A:B,2,FALSE)</f>
        <v>04</v>
      </c>
      <c r="M1154" t="str">
        <f>VLOOKUP(Tabla3[[#This Row],[SERVICIO]],'SAPROV (2)'!I:J,2,FALSE)</f>
        <v>SERV0060</v>
      </c>
      <c r="N1154" t="s">
        <v>611</v>
      </c>
      <c r="P1154">
        <f>VLOOKUP(Tabla3[[#This Row],[FECHA]],TASA[],2,FALSE)</f>
        <v>367.31</v>
      </c>
      <c r="Q1154" s="4">
        <f t="shared" si="109"/>
        <v>-0.88116305028450093</v>
      </c>
      <c r="R1154" t="s">
        <v>1465</v>
      </c>
    </row>
    <row r="1155" spans="1:18" x14ac:dyDescent="0.25">
      <c r="A1155" s="33">
        <v>46052</v>
      </c>
      <c r="B1155" s="1">
        <v>405959</v>
      </c>
      <c r="C1155" s="2" t="s">
        <v>1301</v>
      </c>
      <c r="D1155" s="34">
        <v>-447.16</v>
      </c>
      <c r="E1155" t="s">
        <v>20</v>
      </c>
      <c r="F1155" s="2" t="e">
        <f>VLOOKUP(Tabla3[[#This Row],[CONTABLE]],'SAPROV (2)'!L:M,2,FALSE)</f>
        <v>#N/A</v>
      </c>
      <c r="H1155" t="s">
        <v>588</v>
      </c>
      <c r="I1155" s="2" t="str">
        <f>VLOOKUP(Tabla3[[#This Row],[Deposito]],'SAPROV (2)'!D:E,2,FALSE)</f>
        <v>A01</v>
      </c>
      <c r="K1155" s="23" t="s">
        <v>23</v>
      </c>
      <c r="L1155" s="23" t="str">
        <f>VLOOKUP(Tabla3[[#This Row],[PROVEEDOR]],'SAPROV (2)'!A:B,2,FALSE)</f>
        <v>04</v>
      </c>
      <c r="M1155" t="str">
        <f>VLOOKUP(Tabla3[[#This Row],[SERVICIO]],'SAPROV (2)'!I:J,2,FALSE)</f>
        <v>SERV0060</v>
      </c>
      <c r="N1155" t="s">
        <v>611</v>
      </c>
      <c r="P1155">
        <f>VLOOKUP(Tabla3[[#This Row],[FECHA]],TASA[],2,FALSE)</f>
        <v>367.31</v>
      </c>
      <c r="Q1155" s="4">
        <f t="shared" si="109"/>
        <v>-1.2173913043478262</v>
      </c>
      <c r="R1155" t="s">
        <v>1465</v>
      </c>
    </row>
    <row r="1156" spans="1:18" x14ac:dyDescent="0.25">
      <c r="A1156" s="33">
        <v>46052</v>
      </c>
      <c r="B1156" s="1">
        <v>405965</v>
      </c>
      <c r="C1156" s="2" t="s">
        <v>1463</v>
      </c>
      <c r="D1156" s="34">
        <v>-275482.5</v>
      </c>
      <c r="E1156" t="s">
        <v>20</v>
      </c>
      <c r="F1156" s="2" t="e">
        <f>VLOOKUP(Tabla3[[#This Row],[CONTABLE]],'SAPROV (2)'!L:M,2,FALSE)</f>
        <v>#N/A</v>
      </c>
      <c r="H1156" t="s">
        <v>1276</v>
      </c>
      <c r="I1156" s="2" t="str">
        <f>VLOOKUP(Tabla3[[#This Row],[Deposito]],'SAPROV (2)'!D:E,2,FALSE)</f>
        <v>04</v>
      </c>
      <c r="K1156" s="2" t="s">
        <v>101</v>
      </c>
      <c r="L1156" s="2" t="str">
        <f>VLOOKUP(Tabla3[[#This Row],[PROVEEDOR]],'SAPROV (2)'!A:B,2,FALSE)</f>
        <v>36</v>
      </c>
      <c r="M1156" t="str">
        <f>VLOOKUP(Tabla3[[#This Row],[SERVICIO]],'SAPROV (2)'!I:J,2,FALSE)</f>
        <v>SERV0011</v>
      </c>
      <c r="N1156" t="s">
        <v>927</v>
      </c>
      <c r="P1156">
        <f>VLOOKUP(Tabla3[[#This Row],[FECHA]],TASA[],2,FALSE)</f>
        <v>367.31</v>
      </c>
      <c r="Q1156" s="4">
        <f t="shared" ref="Q1156:Q1158" si="110">D1156/P1156</f>
        <v>-750</v>
      </c>
      <c r="R1156" t="s">
        <v>1465</v>
      </c>
    </row>
    <row r="1157" spans="1:18" x14ac:dyDescent="0.25">
      <c r="A1157" s="33">
        <v>46052</v>
      </c>
      <c r="B1157" s="1">
        <v>405965</v>
      </c>
      <c r="C1157" s="2" t="s">
        <v>1402</v>
      </c>
      <c r="D1157" s="34">
        <v>-826.45</v>
      </c>
      <c r="E1157" t="s">
        <v>20</v>
      </c>
      <c r="F1157" s="2" t="e">
        <f>VLOOKUP(Tabla3[[#This Row],[CONTABLE]],'SAPROV (2)'!L:M,2,FALSE)</f>
        <v>#N/A</v>
      </c>
      <c r="H1157" t="s">
        <v>588</v>
      </c>
      <c r="I1157" s="2" t="str">
        <f>VLOOKUP(Tabla3[[#This Row],[Deposito]],'SAPROV (2)'!D:E,2,FALSE)</f>
        <v>A01</v>
      </c>
      <c r="K1157" s="23" t="s">
        <v>23</v>
      </c>
      <c r="L1157" s="23" t="str">
        <f>VLOOKUP(Tabla3[[#This Row],[PROVEEDOR]],'SAPROV (2)'!A:B,2,FALSE)</f>
        <v>04</v>
      </c>
      <c r="M1157" t="str">
        <f>VLOOKUP(Tabla3[[#This Row],[SERVICIO]],'SAPROV (2)'!I:J,2,FALSE)</f>
        <v>SERV0060</v>
      </c>
      <c r="N1157" t="s">
        <v>611</v>
      </c>
      <c r="P1157">
        <f>VLOOKUP(Tabla3[[#This Row],[FECHA]],TASA[],2,FALSE)</f>
        <v>367.31</v>
      </c>
      <c r="Q1157" s="4">
        <f t="shared" si="110"/>
        <v>-2.250006806239961</v>
      </c>
      <c r="R1157" t="s">
        <v>1465</v>
      </c>
    </row>
    <row r="1158" spans="1:18" x14ac:dyDescent="0.25">
      <c r="A1158" s="33">
        <v>46053</v>
      </c>
      <c r="B1158" s="1">
        <v>0</v>
      </c>
      <c r="C1158" s="2" t="s">
        <v>1464</v>
      </c>
      <c r="D1158" s="34">
        <v>-8</v>
      </c>
      <c r="E1158" t="s">
        <v>20</v>
      </c>
      <c r="F1158" s="2" t="e">
        <f>VLOOKUP(Tabla3[[#This Row],[CONTABLE]],'SAPROV (2)'!L:M,2,FALSE)</f>
        <v>#N/A</v>
      </c>
      <c r="H1158" t="s">
        <v>588</v>
      </c>
      <c r="I1158" s="2" t="str">
        <f>VLOOKUP(Tabla3[[#This Row],[Deposito]],'SAPROV (2)'!D:E,2,FALSE)</f>
        <v>A01</v>
      </c>
      <c r="K1158" s="23" t="s">
        <v>23</v>
      </c>
      <c r="L1158" s="23" t="str">
        <f>VLOOKUP(Tabla3[[#This Row],[PROVEEDOR]],'SAPROV (2)'!A:B,2,FALSE)</f>
        <v>04</v>
      </c>
      <c r="M1158" t="str">
        <f>VLOOKUP(Tabla3[[#This Row],[SERVICIO]],'SAPROV (2)'!I:J,2,FALSE)</f>
        <v>SERV0060</v>
      </c>
      <c r="N1158" t="s">
        <v>611</v>
      </c>
      <c r="P1158">
        <f>VLOOKUP(Tabla3[[#This Row],[FECHA]],TASA[],2,FALSE)</f>
        <v>370.25</v>
      </c>
      <c r="Q1158" s="4">
        <f t="shared" si="110"/>
        <v>-2.160702228224173E-2</v>
      </c>
      <c r="R1158" t="s">
        <v>1465</v>
      </c>
    </row>
    <row r="1159" spans="1:18" x14ac:dyDescent="0.25">
      <c r="A1159" s="33">
        <v>46042</v>
      </c>
      <c r="B1159" s="1">
        <v>68742</v>
      </c>
      <c r="C1159" s="2" t="s">
        <v>1476</v>
      </c>
      <c r="D1159" s="34">
        <v>-17225.5</v>
      </c>
      <c r="E1159" t="s">
        <v>20</v>
      </c>
      <c r="F1159" s="2" t="e">
        <f>VLOOKUP(Tabla3[[#This Row],[CONTABLE]],'SAPROV (2)'!L:M,2,FALSE)</f>
        <v>#N/A</v>
      </c>
      <c r="H1159" t="s">
        <v>1281</v>
      </c>
      <c r="I1159" s="40" t="str">
        <f>VLOOKUP(Tabla3[[#This Row],[Deposito]],'SAPROV (2)'!D:E,2,FALSE)</f>
        <v>07</v>
      </c>
      <c r="K1159" t="s">
        <v>52</v>
      </c>
      <c r="L1159" s="2" t="str">
        <f>VLOOKUP(Tabla3[[#This Row],[PROVEEDOR]],'SAPROV (2)'!A:B,2,FALSE)</f>
        <v>11</v>
      </c>
      <c r="M1159" t="str">
        <f>VLOOKUP(Tabla3[[#This Row],[SERVICIO]],'SAPROV (2)'!I:J,2,FALSE)</f>
        <v>SERV0036</v>
      </c>
      <c r="N1159" t="s">
        <v>762</v>
      </c>
      <c r="P1159" s="41">
        <f>VLOOKUP(Tabla3[[#This Row],[FECHA]],TASA[],2,FALSE)</f>
        <v>344.51</v>
      </c>
      <c r="Q1159" s="42">
        <f t="shared" ref="Q1159:Q1169" si="111">D1159/P1159</f>
        <v>-50</v>
      </c>
      <c r="R1159" s="43" t="s">
        <v>1465</v>
      </c>
    </row>
    <row r="1160" spans="1:18" x14ac:dyDescent="0.25">
      <c r="A1160" s="33">
        <v>46035</v>
      </c>
      <c r="B1160" s="1">
        <v>0</v>
      </c>
      <c r="C1160" s="2" t="s">
        <v>1477</v>
      </c>
      <c r="D1160" s="34">
        <v>-509954.62</v>
      </c>
      <c r="E1160" t="s">
        <v>20</v>
      </c>
      <c r="F1160" s="2" t="e">
        <f>VLOOKUP(Tabla3[[#This Row],[CONTABLE]],'SAPROV (2)'!L:M,2,FALSE)</f>
        <v>#N/A</v>
      </c>
      <c r="H1160" t="s">
        <v>1281</v>
      </c>
      <c r="I1160" s="40" t="str">
        <f>VLOOKUP(Tabla3[[#This Row],[Deposito]],'SAPROV (2)'!D:E,2,FALSE)</f>
        <v>07</v>
      </c>
      <c r="K1160" t="s">
        <v>101</v>
      </c>
      <c r="L1160" s="23" t="str">
        <f>VLOOKUP(Tabla3[[#This Row],[PROVEEDOR]],'SAPROV (2)'!A:B,2,FALSE)</f>
        <v>36</v>
      </c>
      <c r="M1160" t="str">
        <f>VLOOKUP(Tabla3[[#This Row],[SERVICIO]],'SAPROV (2)'!I:J,2,FALSE)</f>
        <v>SERV0011</v>
      </c>
      <c r="N1160" t="s">
        <v>927</v>
      </c>
      <c r="P1160" s="41">
        <f>VLOOKUP(Tabla3[[#This Row],[FECHA]],TASA[],2,FALSE)</f>
        <v>330.38</v>
      </c>
      <c r="Q1160" s="42">
        <f t="shared" si="111"/>
        <v>-1543.539621042436</v>
      </c>
      <c r="R1160" s="43" t="s">
        <v>1465</v>
      </c>
    </row>
    <row r="1161" spans="1:18" x14ac:dyDescent="0.25">
      <c r="A1161" s="33">
        <v>46035</v>
      </c>
      <c r="B1161" s="1">
        <v>0</v>
      </c>
      <c r="C1161" s="2" t="s">
        <v>1478</v>
      </c>
      <c r="D1161" s="34">
        <v>-115421.23</v>
      </c>
      <c r="E1161" t="s">
        <v>20</v>
      </c>
      <c r="F1161" s="2" t="e">
        <f>VLOOKUP(Tabla3[[#This Row],[CONTABLE]],'SAPROV (2)'!L:M,2,FALSE)</f>
        <v>#N/A</v>
      </c>
      <c r="H1161" t="s">
        <v>1278</v>
      </c>
      <c r="I1161" s="40" t="str">
        <f>VLOOKUP(Tabla3[[#This Row],[Deposito]],'SAPROV (2)'!D:E,2,FALSE)</f>
        <v>06</v>
      </c>
      <c r="K1161" t="s">
        <v>101</v>
      </c>
      <c r="L1161" s="23" t="str">
        <f>VLOOKUP(Tabla3[[#This Row],[PROVEEDOR]],'SAPROV (2)'!A:B,2,FALSE)</f>
        <v>36</v>
      </c>
      <c r="M1161" t="str">
        <f>VLOOKUP(Tabla3[[#This Row],[SERVICIO]],'SAPROV (2)'!I:J,2,FALSE)</f>
        <v>SERV0011</v>
      </c>
      <c r="N1161" t="s">
        <v>927</v>
      </c>
      <c r="P1161" s="41">
        <f>VLOOKUP(Tabla3[[#This Row],[FECHA]],TASA[],2,FALSE)</f>
        <v>330.38</v>
      </c>
      <c r="Q1161" s="42">
        <f t="shared" si="111"/>
        <v>-349.35901083600703</v>
      </c>
      <c r="R1161" s="43" t="s">
        <v>1465</v>
      </c>
    </row>
    <row r="1162" spans="1:18" x14ac:dyDescent="0.25">
      <c r="A1162" s="33">
        <v>46035</v>
      </c>
      <c r="B1162" s="1">
        <v>0</v>
      </c>
      <c r="C1162" s="2" t="s">
        <v>1479</v>
      </c>
      <c r="D1162" s="34">
        <v>-205116.01</v>
      </c>
      <c r="E1162" t="s">
        <v>20</v>
      </c>
      <c r="F1162" s="2" t="e">
        <f>VLOOKUP(Tabla3[[#This Row],[CONTABLE]],'SAPROV (2)'!L:M,2,FALSE)</f>
        <v>#N/A</v>
      </c>
      <c r="H1162" t="s">
        <v>1280</v>
      </c>
      <c r="I1162" s="40" t="str">
        <f>VLOOKUP(Tabla3[[#This Row],[Deposito]],'SAPROV (2)'!D:E,2,FALSE)</f>
        <v>01</v>
      </c>
      <c r="K1162" t="s">
        <v>101</v>
      </c>
      <c r="L1162" s="2" t="str">
        <f>VLOOKUP(Tabla3[[#This Row],[PROVEEDOR]],'SAPROV (2)'!A:B,2,FALSE)</f>
        <v>36</v>
      </c>
      <c r="M1162" t="str">
        <f>VLOOKUP(Tabla3[[#This Row],[SERVICIO]],'SAPROV (2)'!I:J,2,FALSE)</f>
        <v>SERV0011</v>
      </c>
      <c r="N1162" t="s">
        <v>927</v>
      </c>
      <c r="P1162" s="41">
        <f>VLOOKUP(Tabla3[[#This Row],[FECHA]],TASA[],2,FALSE)</f>
        <v>330.38</v>
      </c>
      <c r="Q1162" s="42">
        <f t="shared" si="111"/>
        <v>-620.84874992432958</v>
      </c>
      <c r="R1162" s="43" t="s">
        <v>1465</v>
      </c>
    </row>
    <row r="1163" spans="1:18" x14ac:dyDescent="0.25">
      <c r="A1163" s="33">
        <v>46035</v>
      </c>
      <c r="B1163" s="1">
        <v>0</v>
      </c>
      <c r="C1163" s="2" t="s">
        <v>1480</v>
      </c>
      <c r="D1163" s="34">
        <v>-145651.95000000001</v>
      </c>
      <c r="E1163" t="s">
        <v>20</v>
      </c>
      <c r="F1163" s="2" t="e">
        <f>VLOOKUP(Tabla3[[#This Row],[CONTABLE]],'SAPROV (2)'!L:M,2,FALSE)</f>
        <v>#N/A</v>
      </c>
      <c r="H1163" t="s">
        <v>1274</v>
      </c>
      <c r="I1163" s="40" t="str">
        <f>VLOOKUP(Tabla3[[#This Row],[Deposito]],'SAPROV (2)'!D:E,2,FALSE)</f>
        <v>02</v>
      </c>
      <c r="K1163" t="s">
        <v>101</v>
      </c>
      <c r="L1163" s="23" t="str">
        <f>VLOOKUP(Tabla3[[#This Row],[PROVEEDOR]],'SAPROV (2)'!A:B,2,FALSE)</f>
        <v>36</v>
      </c>
      <c r="M1163" t="str">
        <f>VLOOKUP(Tabla3[[#This Row],[SERVICIO]],'SAPROV (2)'!I:J,2,FALSE)</f>
        <v>SERV0011</v>
      </c>
      <c r="N1163" t="s">
        <v>927</v>
      </c>
      <c r="P1163" s="41">
        <f>VLOOKUP(Tabla3[[#This Row],[FECHA]],TASA[],2,FALSE)</f>
        <v>330.38</v>
      </c>
      <c r="Q1163" s="42">
        <f t="shared" si="111"/>
        <v>-440.86188631273086</v>
      </c>
      <c r="R1163" s="43" t="s">
        <v>1465</v>
      </c>
    </row>
    <row r="1164" spans="1:18" x14ac:dyDescent="0.25">
      <c r="A1164" s="33">
        <v>46052</v>
      </c>
      <c r="B1164" s="1">
        <v>0</v>
      </c>
      <c r="C1164" s="2" t="s">
        <v>1481</v>
      </c>
      <c r="D1164" s="34">
        <v>-574009.27</v>
      </c>
      <c r="E1164" t="s">
        <v>20</v>
      </c>
      <c r="F1164" s="2" t="e">
        <f>VLOOKUP(Tabla3[[#This Row],[CONTABLE]],'SAPROV (2)'!L:M,2,FALSE)</f>
        <v>#N/A</v>
      </c>
      <c r="H1164" t="s">
        <v>1281</v>
      </c>
      <c r="I1164" s="40" t="str">
        <f>VLOOKUP(Tabla3[[#This Row],[Deposito]],'SAPROV (2)'!D:E,2,FALSE)</f>
        <v>07</v>
      </c>
      <c r="K1164" t="s">
        <v>101</v>
      </c>
      <c r="L1164" s="23" t="str">
        <f>VLOOKUP(Tabla3[[#This Row],[PROVEEDOR]],'SAPROV (2)'!A:B,2,FALSE)</f>
        <v>36</v>
      </c>
      <c r="M1164" t="str">
        <f>VLOOKUP(Tabla3[[#This Row],[SERVICIO]],'SAPROV (2)'!I:J,2,FALSE)</f>
        <v>SERV0011</v>
      </c>
      <c r="N1164" t="s">
        <v>927</v>
      </c>
      <c r="P1164" s="41">
        <f>VLOOKUP(Tabla3[[#This Row],[FECHA]],TASA[],2,FALSE)</f>
        <v>367.31</v>
      </c>
      <c r="Q1164" s="42">
        <f t="shared" si="111"/>
        <v>-1562.7379325365496</v>
      </c>
      <c r="R1164" s="43" t="s">
        <v>1465</v>
      </c>
    </row>
    <row r="1165" spans="1:18" x14ac:dyDescent="0.25">
      <c r="A1165" s="33">
        <v>46052</v>
      </c>
      <c r="B1165" s="1">
        <v>0</v>
      </c>
      <c r="C1165" s="2" t="s">
        <v>1482</v>
      </c>
      <c r="D1165" s="34">
        <v>-147352.17000000001</v>
      </c>
      <c r="E1165" t="s">
        <v>20</v>
      </c>
      <c r="F1165" s="2" t="e">
        <f>VLOOKUP(Tabla3[[#This Row],[CONTABLE]],'SAPROV (2)'!L:M,2,FALSE)</f>
        <v>#N/A</v>
      </c>
      <c r="H1165" t="s">
        <v>1278</v>
      </c>
      <c r="I1165" s="40" t="str">
        <f>VLOOKUP(Tabla3[[#This Row],[Deposito]],'SAPROV (2)'!D:E,2,FALSE)</f>
        <v>06</v>
      </c>
      <c r="K1165" t="s">
        <v>101</v>
      </c>
      <c r="L1165" s="2" t="str">
        <f>VLOOKUP(Tabla3[[#This Row],[PROVEEDOR]],'SAPROV (2)'!A:B,2,FALSE)</f>
        <v>36</v>
      </c>
      <c r="M1165" t="str">
        <f>VLOOKUP(Tabla3[[#This Row],[SERVICIO]],'SAPROV (2)'!I:J,2,FALSE)</f>
        <v>SERV0011</v>
      </c>
      <c r="N1165" t="s">
        <v>927</v>
      </c>
      <c r="P1165" s="41">
        <f>VLOOKUP(Tabla3[[#This Row],[FECHA]],TASA[],2,FALSE)</f>
        <v>367.31</v>
      </c>
      <c r="Q1165" s="42">
        <f t="shared" si="111"/>
        <v>-401.16569110560567</v>
      </c>
      <c r="R1165" s="43" t="s">
        <v>1465</v>
      </c>
    </row>
    <row r="1166" spans="1:18" x14ac:dyDescent="0.25">
      <c r="A1166" s="33">
        <v>46052</v>
      </c>
      <c r="B1166" s="1">
        <v>0</v>
      </c>
      <c r="C1166" s="2" t="s">
        <v>1483</v>
      </c>
      <c r="D1166" s="34">
        <v>-240763.41</v>
      </c>
      <c r="E1166" t="s">
        <v>20</v>
      </c>
      <c r="F1166" s="2" t="e">
        <f>VLOOKUP(Tabla3[[#This Row],[CONTABLE]],'SAPROV (2)'!L:M,2,FALSE)</f>
        <v>#N/A</v>
      </c>
      <c r="H1166" t="s">
        <v>1280</v>
      </c>
      <c r="I1166" s="40" t="str">
        <f>VLOOKUP(Tabla3[[#This Row],[Deposito]],'SAPROV (2)'!D:E,2,FALSE)</f>
        <v>01</v>
      </c>
      <c r="K1166" t="s">
        <v>101</v>
      </c>
      <c r="L1166" s="23" t="str">
        <f>VLOOKUP(Tabla3[[#This Row],[PROVEEDOR]],'SAPROV (2)'!A:B,2,FALSE)</f>
        <v>36</v>
      </c>
      <c r="M1166" t="str">
        <f>VLOOKUP(Tabla3[[#This Row],[SERVICIO]],'SAPROV (2)'!I:J,2,FALSE)</f>
        <v>SERV0011</v>
      </c>
      <c r="N1166" t="s">
        <v>927</v>
      </c>
      <c r="P1166" s="41">
        <f>VLOOKUP(Tabla3[[#This Row],[FECHA]],TASA[],2,FALSE)</f>
        <v>367.31</v>
      </c>
      <c r="Q1166" s="42">
        <f t="shared" si="111"/>
        <v>-655.47741689581005</v>
      </c>
      <c r="R1166" s="43" t="s">
        <v>1465</v>
      </c>
    </row>
    <row r="1167" spans="1:18" x14ac:dyDescent="0.25">
      <c r="A1167" s="33">
        <v>46052</v>
      </c>
      <c r="B1167" s="1">
        <v>0</v>
      </c>
      <c r="C1167" s="2" t="s">
        <v>1484</v>
      </c>
      <c r="D1167" s="34">
        <v>-160245.92000000001</v>
      </c>
      <c r="E1167" t="s">
        <v>20</v>
      </c>
      <c r="F1167" s="2" t="e">
        <f>VLOOKUP(Tabla3[[#This Row],[CONTABLE]],'SAPROV (2)'!L:M,2,FALSE)</f>
        <v>#N/A</v>
      </c>
      <c r="H1167" t="s">
        <v>1274</v>
      </c>
      <c r="I1167" s="40" t="str">
        <f>VLOOKUP(Tabla3[[#This Row],[Deposito]],'SAPROV (2)'!D:E,2,FALSE)</f>
        <v>02</v>
      </c>
      <c r="K1167" t="s">
        <v>101</v>
      </c>
      <c r="L1167" s="23" t="str">
        <f>VLOOKUP(Tabla3[[#This Row],[PROVEEDOR]],'SAPROV (2)'!A:B,2,FALSE)</f>
        <v>36</v>
      </c>
      <c r="M1167" t="str">
        <f>VLOOKUP(Tabla3[[#This Row],[SERVICIO]],'SAPROV (2)'!I:J,2,FALSE)</f>
        <v>SERV0011</v>
      </c>
      <c r="N1167" t="s">
        <v>927</v>
      </c>
      <c r="P1167" s="41">
        <f>VLOOKUP(Tabla3[[#This Row],[FECHA]],TASA[],2,FALSE)</f>
        <v>367.31</v>
      </c>
      <c r="Q1167" s="42">
        <f t="shared" si="111"/>
        <v>-436.26887370341132</v>
      </c>
      <c r="R1167" s="43" t="s">
        <v>1465</v>
      </c>
    </row>
    <row r="1168" spans="1:18" x14ac:dyDescent="0.25">
      <c r="A1168" s="33">
        <v>46053</v>
      </c>
      <c r="B1168">
        <v>36</v>
      </c>
      <c r="C1168" t="s">
        <v>1485</v>
      </c>
      <c r="D1168">
        <v>-14.62</v>
      </c>
      <c r="E1168" t="s">
        <v>20</v>
      </c>
      <c r="F1168" s="2" t="e">
        <f>VLOOKUP(Tabla3[[#This Row],[CONTABLE]],'SAPROV (2)'!L:M,2,FALSE)</f>
        <v>#N/A</v>
      </c>
      <c r="H1168" t="s">
        <v>588</v>
      </c>
      <c r="I1168" s="40" t="str">
        <f>VLOOKUP(Tabla3[[#This Row],[Deposito]],'SAPROV (2)'!D:E,2,FALSE)</f>
        <v>A01</v>
      </c>
      <c r="K1168" s="23" t="s">
        <v>23</v>
      </c>
      <c r="L1168" s="2" t="str">
        <f>VLOOKUP(Tabla3[[#This Row],[PROVEEDOR]],'SAPROV (2)'!A:B,2,FALSE)</f>
        <v>04</v>
      </c>
      <c r="M1168" t="str">
        <f>VLOOKUP(Tabla3[[#This Row],[SERVICIO]],'SAPROV (2)'!I:J,2,FALSE)</f>
        <v>SERV0060</v>
      </c>
      <c r="N1168" t="s">
        <v>611</v>
      </c>
      <c r="P1168" s="41">
        <v>1</v>
      </c>
      <c r="Q1168" s="42">
        <f t="shared" si="111"/>
        <v>-14.62</v>
      </c>
      <c r="R1168" s="43" t="s">
        <v>1486</v>
      </c>
    </row>
    <row r="1169" spans="1:18" x14ac:dyDescent="0.25">
      <c r="A1169" s="33">
        <v>46052</v>
      </c>
      <c r="B1169" s="1">
        <v>0</v>
      </c>
      <c r="C1169" s="2" t="s">
        <v>1266</v>
      </c>
      <c r="D1169" s="34">
        <v>-1</v>
      </c>
      <c r="E1169" t="s">
        <v>20</v>
      </c>
      <c r="F1169" s="2" t="e">
        <f>VLOOKUP(Tabla3[[#This Row],[CONTABLE]],'SAPROV (2)'!L:M,2,FALSE)</f>
        <v>#N/A</v>
      </c>
      <c r="H1169" t="s">
        <v>588</v>
      </c>
      <c r="I1169" s="40" t="str">
        <f>VLOOKUP(Tabla3[[#This Row],[Deposito]],'SAPROV (2)'!D:E,2,FALSE)</f>
        <v>A01</v>
      </c>
      <c r="K1169" s="23" t="s">
        <v>23</v>
      </c>
      <c r="L1169" s="23" t="str">
        <f>VLOOKUP(Tabla3[[#This Row],[PROVEEDOR]],'SAPROV (2)'!A:B,2,FALSE)</f>
        <v>04</v>
      </c>
      <c r="M1169" t="str">
        <f>VLOOKUP(Tabla3[[#This Row],[SERVICIO]],'SAPROV (2)'!I:J,2,FALSE)</f>
        <v>SERV0060</v>
      </c>
      <c r="N1169" t="s">
        <v>611</v>
      </c>
      <c r="P1169" s="41">
        <v>1</v>
      </c>
      <c r="Q1169" s="42">
        <f t="shared" si="111"/>
        <v>-1</v>
      </c>
      <c r="R1169" s="43" t="s">
        <v>1487</v>
      </c>
    </row>
  </sheetData>
  <mergeCells count="1">
    <mergeCell ref="C8:G8"/>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97EC474C-035F-47A5-97D2-D4052D8D38EA}">
          <x14:formula1>
            <xm:f>'SAPROV (2)'!$D:$D</xm:f>
          </x14:formula1>
          <xm:sqref>H1150:H1151 H1:H600 H677:H708 H661:H667 H744:H750 H1051:H1055 H1143 H859 H865 H867 H863 H873 H875 H877 H1071 H883 H885 H881 H891 H897 H903 H905 H785:H792 H907:H911 H921 H901 H987 H989 H991 H993 H995 H997 H999 H1001 H1003 H1005 H1007 H1009 H1011 H1013 H1015 H1017 H1019 H1057 H1059 H1061 H925 H1077 H1083 H1085 H1081 H1091 H1093 H1095 H919 H1101 H1103 H1099 H1109 H1115 H1121 H1123 H957:H985 H1125:H1129 H1139 H1119 H634:H642 H740:H741 H1145:H1147 H783 H1141 H827:H847 H804:H810 H879 H887 H889 H871 H899 H913:H915 H895 H923 H927:H934 H853 H1037 H1039 H1041 H1043 H1045 H1047 H1049 H1063:H1065 H1035 H1097 H1105 H1107 H1089 H1117 H1131:H1133 H1113 H849:H851 H1021 H1023 H1025 H1027 H1029 H1031 H1033 H1067:H1069 H855:H857 H861 H869 H893 H917 H1073:H1075 H1079 H1087 H1111 H1135 H1137 H936:H955 H1154:H1155 H1157:H1158 H1160:H1048576</xm:sqref>
        </x14:dataValidation>
        <x14:dataValidation type="list" allowBlank="1" showInputMessage="1" showErrorMessage="1" xr:uid="{CBB0C7F4-BC93-4670-AF35-741580A9D155}">
          <x14:formula1>
            <xm:f>'SAPROV (2)'!$L:$L</xm:f>
          </x14:formula1>
          <xm:sqref>H930 G931 H932 H936 G933:G935 G937:G1048576 H956 H1052 H1054 H1150 H1156 G1:G929</xm:sqref>
        </x14:dataValidation>
        <x14:dataValidation type="list" allowBlank="1" showInputMessage="1" showErrorMessage="1" xr:uid="{00000000-0002-0000-0000-000000000000}">
          <x14:formula1>
            <xm:f>'SAPROV (2)'!$A:$A</xm:f>
          </x14:formula1>
          <xm:sqref>K1:K1048576</xm:sqref>
        </x14:dataValidation>
        <x14:dataValidation type="list" allowBlank="1" showInputMessage="1" showErrorMessage="1" xr:uid="{68E350B7-147D-4BF1-BDB6-3B09870F0A26}">
          <x14:formula1>
            <xm:f>'SAPROV (2)'!$G:$G</xm:f>
          </x14:formula1>
          <xm:sqref>J1:J1048576</xm:sqref>
        </x14:dataValidation>
        <x14:dataValidation type="list" allowBlank="1" showInputMessage="1" showErrorMessage="1" xr:uid="{E479AED4-D32F-440B-894E-0486B5A0086B}">
          <x14:formula1>
            <xm:f>'SAPROV (2)'!$I:$I</xm:f>
          </x14:formula1>
          <xm:sqref>N1:N1048576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2"/>
  <sheetViews>
    <sheetView topLeftCell="A203" workbookViewId="0">
      <selection activeCell="I221" sqref="I221"/>
    </sheetView>
  </sheetViews>
  <sheetFormatPr baseColWidth="10" defaultRowHeight="15" x14ac:dyDescent="0.25"/>
  <cols>
    <col min="1" max="1" width="38.28515625" bestFit="1" customWidth="1"/>
    <col min="2" max="2" width="11.7109375" style="24" bestFit="1" customWidth="1"/>
    <col min="3" max="3" width="3.7109375" customWidth="1"/>
    <col min="4" max="4" width="23.28515625" bestFit="1" customWidth="1"/>
    <col min="5" max="5" width="11.5703125" style="24"/>
    <col min="6" max="6" width="3.28515625" customWidth="1"/>
    <col min="7" max="7" width="9.85546875" customWidth="1"/>
    <col min="8" max="8" width="2.85546875" customWidth="1"/>
    <col min="9" max="9" width="46.42578125" bestFit="1" customWidth="1"/>
    <col min="12" max="12" width="54.85546875" bestFit="1" customWidth="1"/>
  </cols>
  <sheetData>
    <row r="1" spans="1:13" x14ac:dyDescent="0.25">
      <c r="A1" t="s">
        <v>181</v>
      </c>
      <c r="B1" s="24" t="s">
        <v>182</v>
      </c>
      <c r="D1" t="s">
        <v>1274</v>
      </c>
      <c r="E1" s="24" t="s">
        <v>35</v>
      </c>
      <c r="G1" t="s">
        <v>171</v>
      </c>
      <c r="I1" t="s">
        <v>590</v>
      </c>
      <c r="J1" t="s">
        <v>591</v>
      </c>
      <c r="L1" t="s">
        <v>957</v>
      </c>
      <c r="M1">
        <v>110101001</v>
      </c>
    </row>
    <row r="2" spans="1:13" x14ac:dyDescent="0.25">
      <c r="A2" t="s">
        <v>121</v>
      </c>
      <c r="B2" s="24" t="s">
        <v>120</v>
      </c>
      <c r="D2" t="s">
        <v>1275</v>
      </c>
      <c r="E2" s="24" t="s">
        <v>37</v>
      </c>
      <c r="I2" t="s">
        <v>590</v>
      </c>
      <c r="J2" t="s">
        <v>592</v>
      </c>
      <c r="L2" t="s">
        <v>960</v>
      </c>
      <c r="M2">
        <v>110101003</v>
      </c>
    </row>
    <row r="3" spans="1:13" x14ac:dyDescent="0.25">
      <c r="A3" t="s">
        <v>183</v>
      </c>
      <c r="B3" s="24" t="s">
        <v>184</v>
      </c>
      <c r="D3" t="s">
        <v>1276</v>
      </c>
      <c r="E3" s="24" t="s">
        <v>39</v>
      </c>
      <c r="I3" t="s">
        <v>593</v>
      </c>
      <c r="J3" t="s">
        <v>594</v>
      </c>
      <c r="L3" t="s">
        <v>1054</v>
      </c>
      <c r="M3">
        <v>110102001</v>
      </c>
    </row>
    <row r="4" spans="1:13" x14ac:dyDescent="0.25">
      <c r="A4" t="s">
        <v>185</v>
      </c>
      <c r="B4" s="24" t="s">
        <v>186</v>
      </c>
      <c r="D4" t="s">
        <v>1277</v>
      </c>
      <c r="E4" s="24" t="s">
        <v>40</v>
      </c>
      <c r="I4" t="s">
        <v>593</v>
      </c>
      <c r="J4" t="s">
        <v>595</v>
      </c>
      <c r="L4" t="s">
        <v>1055</v>
      </c>
      <c r="M4">
        <v>110102002</v>
      </c>
    </row>
    <row r="5" spans="1:13" x14ac:dyDescent="0.25">
      <c r="A5" t="s">
        <v>187</v>
      </c>
      <c r="B5" s="24" t="s">
        <v>188</v>
      </c>
      <c r="D5" t="s">
        <v>1278</v>
      </c>
      <c r="E5" s="24" t="s">
        <v>42</v>
      </c>
      <c r="I5" t="s">
        <v>596</v>
      </c>
      <c r="J5" t="s">
        <v>597</v>
      </c>
      <c r="L5" t="s">
        <v>1056</v>
      </c>
      <c r="M5">
        <v>110102003</v>
      </c>
    </row>
    <row r="6" spans="1:13" x14ac:dyDescent="0.25">
      <c r="A6" t="s">
        <v>189</v>
      </c>
      <c r="B6" s="24" t="s">
        <v>190</v>
      </c>
      <c r="D6" t="s">
        <v>1279</v>
      </c>
      <c r="E6" s="24" t="s">
        <v>45</v>
      </c>
      <c r="I6" t="s">
        <v>596</v>
      </c>
      <c r="J6" t="s">
        <v>598</v>
      </c>
      <c r="L6" t="s">
        <v>1057</v>
      </c>
      <c r="M6">
        <v>110102004</v>
      </c>
    </row>
    <row r="7" spans="1:13" x14ac:dyDescent="0.25">
      <c r="A7" t="s">
        <v>191</v>
      </c>
      <c r="B7" s="24" t="s">
        <v>192</v>
      </c>
      <c r="D7" t="s">
        <v>588</v>
      </c>
      <c r="E7" s="24" t="s">
        <v>589</v>
      </c>
      <c r="I7" t="s">
        <v>599</v>
      </c>
      <c r="J7" t="s">
        <v>600</v>
      </c>
      <c r="L7" t="s">
        <v>1058</v>
      </c>
      <c r="M7">
        <v>110102005</v>
      </c>
    </row>
    <row r="8" spans="1:13" x14ac:dyDescent="0.25">
      <c r="A8" t="s">
        <v>193</v>
      </c>
      <c r="B8" s="24" t="s">
        <v>194</v>
      </c>
      <c r="D8" t="s">
        <v>1280</v>
      </c>
      <c r="E8" s="24" t="s">
        <v>178</v>
      </c>
      <c r="I8" t="s">
        <v>599</v>
      </c>
      <c r="J8" t="s">
        <v>601</v>
      </c>
      <c r="L8" t="s">
        <v>1059</v>
      </c>
      <c r="M8">
        <v>110102006</v>
      </c>
    </row>
    <row r="9" spans="1:13" x14ac:dyDescent="0.25">
      <c r="A9" t="s">
        <v>48</v>
      </c>
      <c r="B9" s="24" t="s">
        <v>47</v>
      </c>
      <c r="D9" t="s">
        <v>1281</v>
      </c>
      <c r="E9" s="24" t="s">
        <v>43</v>
      </c>
      <c r="I9" t="s">
        <v>602</v>
      </c>
      <c r="J9" t="s">
        <v>603</v>
      </c>
      <c r="L9" t="s">
        <v>1060</v>
      </c>
      <c r="M9">
        <v>110102007</v>
      </c>
    </row>
    <row r="10" spans="1:13" x14ac:dyDescent="0.25">
      <c r="A10" t="s">
        <v>195</v>
      </c>
      <c r="B10" s="24" t="s">
        <v>196</v>
      </c>
      <c r="D10" t="s">
        <v>1277</v>
      </c>
      <c r="E10" s="24" t="s">
        <v>47</v>
      </c>
      <c r="I10" t="s">
        <v>602</v>
      </c>
      <c r="J10" t="s">
        <v>604</v>
      </c>
      <c r="L10" t="s">
        <v>1043</v>
      </c>
      <c r="M10">
        <v>110105001</v>
      </c>
    </row>
    <row r="11" spans="1:13" x14ac:dyDescent="0.25">
      <c r="A11" t="s">
        <v>197</v>
      </c>
      <c r="B11" s="24" t="s">
        <v>198</v>
      </c>
      <c r="I11" t="s">
        <v>605</v>
      </c>
      <c r="J11" t="s">
        <v>606</v>
      </c>
      <c r="L11" t="s">
        <v>1045</v>
      </c>
      <c r="M11">
        <v>110105004</v>
      </c>
    </row>
    <row r="12" spans="1:13" x14ac:dyDescent="0.25">
      <c r="A12" t="s">
        <v>199</v>
      </c>
      <c r="B12" s="24" t="s">
        <v>200</v>
      </c>
      <c r="I12" t="s">
        <v>605</v>
      </c>
      <c r="J12" t="s">
        <v>607</v>
      </c>
      <c r="L12" t="s">
        <v>1044</v>
      </c>
      <c r="M12">
        <v>110105005</v>
      </c>
    </row>
    <row r="13" spans="1:13" x14ac:dyDescent="0.25">
      <c r="A13" t="s">
        <v>201</v>
      </c>
      <c r="B13" s="24" t="s">
        <v>202</v>
      </c>
      <c r="I13" t="s">
        <v>608</v>
      </c>
      <c r="J13" t="s">
        <v>609</v>
      </c>
      <c r="L13" t="s">
        <v>964</v>
      </c>
      <c r="M13">
        <v>110106001</v>
      </c>
    </row>
    <row r="14" spans="1:13" x14ac:dyDescent="0.25">
      <c r="A14" t="s">
        <v>203</v>
      </c>
      <c r="B14" s="24" t="s">
        <v>170</v>
      </c>
      <c r="I14" t="s">
        <v>608</v>
      </c>
      <c r="J14" t="s">
        <v>610</v>
      </c>
      <c r="L14" t="s">
        <v>1061</v>
      </c>
      <c r="M14">
        <v>110106012</v>
      </c>
    </row>
    <row r="15" spans="1:13" x14ac:dyDescent="0.25">
      <c r="A15" t="s">
        <v>203</v>
      </c>
      <c r="B15" s="24" t="s">
        <v>204</v>
      </c>
      <c r="I15" t="s">
        <v>611</v>
      </c>
      <c r="J15" t="s">
        <v>612</v>
      </c>
      <c r="L15" t="s">
        <v>1062</v>
      </c>
      <c r="M15">
        <v>110106013</v>
      </c>
    </row>
    <row r="16" spans="1:13" x14ac:dyDescent="0.25">
      <c r="A16" t="s">
        <v>205</v>
      </c>
      <c r="B16" s="24" t="s">
        <v>206</v>
      </c>
      <c r="I16" t="s">
        <v>611</v>
      </c>
      <c r="J16" t="s">
        <v>613</v>
      </c>
      <c r="L16" t="s">
        <v>1063</v>
      </c>
      <c r="M16">
        <v>110106019</v>
      </c>
    </row>
    <row r="17" spans="1:13" x14ac:dyDescent="0.25">
      <c r="A17" t="s">
        <v>207</v>
      </c>
      <c r="B17" s="24" t="s">
        <v>208</v>
      </c>
      <c r="I17" t="s">
        <v>614</v>
      </c>
      <c r="J17" t="s">
        <v>615</v>
      </c>
      <c r="L17" t="s">
        <v>1064</v>
      </c>
      <c r="M17">
        <v>110106025</v>
      </c>
    </row>
    <row r="18" spans="1:13" x14ac:dyDescent="0.25">
      <c r="A18" t="s">
        <v>209</v>
      </c>
      <c r="B18" s="24" t="s">
        <v>210</v>
      </c>
      <c r="I18" t="s">
        <v>614</v>
      </c>
      <c r="J18" t="s">
        <v>616</v>
      </c>
      <c r="L18" t="s">
        <v>964</v>
      </c>
      <c r="M18">
        <v>110106099</v>
      </c>
    </row>
    <row r="19" spans="1:13" x14ac:dyDescent="0.25">
      <c r="A19" t="s">
        <v>211</v>
      </c>
      <c r="B19" s="24" t="s">
        <v>212</v>
      </c>
      <c r="I19" t="s">
        <v>617</v>
      </c>
      <c r="J19" t="s">
        <v>618</v>
      </c>
      <c r="L19" t="s">
        <v>1065</v>
      </c>
      <c r="M19">
        <v>110107001</v>
      </c>
    </row>
    <row r="20" spans="1:13" x14ac:dyDescent="0.25">
      <c r="A20" t="s">
        <v>213</v>
      </c>
      <c r="B20" s="24" t="s">
        <v>214</v>
      </c>
      <c r="I20" t="s">
        <v>617</v>
      </c>
      <c r="J20" t="s">
        <v>619</v>
      </c>
      <c r="L20" t="s">
        <v>974</v>
      </c>
      <c r="M20">
        <v>110110001</v>
      </c>
    </row>
    <row r="21" spans="1:13" x14ac:dyDescent="0.25">
      <c r="A21" t="s">
        <v>167</v>
      </c>
      <c r="B21" s="24" t="s">
        <v>166</v>
      </c>
      <c r="I21" t="s">
        <v>620</v>
      </c>
      <c r="J21" t="s">
        <v>621</v>
      </c>
      <c r="L21" t="s">
        <v>965</v>
      </c>
      <c r="M21">
        <v>110113001</v>
      </c>
    </row>
    <row r="22" spans="1:13" x14ac:dyDescent="0.25">
      <c r="A22" t="s">
        <v>215</v>
      </c>
      <c r="B22" s="24" t="s">
        <v>216</v>
      </c>
      <c r="I22" t="s">
        <v>622</v>
      </c>
      <c r="J22" t="s">
        <v>623</v>
      </c>
      <c r="L22" t="s">
        <v>943</v>
      </c>
      <c r="M22">
        <v>110114001</v>
      </c>
    </row>
    <row r="23" spans="1:13" x14ac:dyDescent="0.25">
      <c r="A23" t="s">
        <v>217</v>
      </c>
      <c r="B23" s="24" t="s">
        <v>218</v>
      </c>
      <c r="I23" t="s">
        <v>622</v>
      </c>
      <c r="J23" t="s">
        <v>624</v>
      </c>
      <c r="L23" t="s">
        <v>1066</v>
      </c>
      <c r="M23">
        <v>110120001</v>
      </c>
    </row>
    <row r="24" spans="1:13" x14ac:dyDescent="0.25">
      <c r="A24" t="s">
        <v>103</v>
      </c>
      <c r="B24" s="24" t="s">
        <v>102</v>
      </c>
      <c r="I24" t="s">
        <v>625</v>
      </c>
      <c r="J24" t="s">
        <v>626</v>
      </c>
      <c r="L24" t="s">
        <v>1067</v>
      </c>
      <c r="M24">
        <v>110120002</v>
      </c>
    </row>
    <row r="25" spans="1:13" x14ac:dyDescent="0.25">
      <c r="A25" t="s">
        <v>79</v>
      </c>
      <c r="B25" s="24" t="s">
        <v>78</v>
      </c>
      <c r="I25" t="s">
        <v>625</v>
      </c>
      <c r="J25" t="s">
        <v>627</v>
      </c>
      <c r="L25" t="s">
        <v>969</v>
      </c>
      <c r="M25">
        <v>110125001</v>
      </c>
    </row>
    <row r="26" spans="1:13" x14ac:dyDescent="0.25">
      <c r="A26" t="s">
        <v>219</v>
      </c>
      <c r="B26" s="24" t="s">
        <v>220</v>
      </c>
      <c r="I26" t="s">
        <v>628</v>
      </c>
      <c r="J26" t="s">
        <v>629</v>
      </c>
      <c r="L26" t="s">
        <v>942</v>
      </c>
      <c r="M26">
        <v>110125002</v>
      </c>
    </row>
    <row r="27" spans="1:13" x14ac:dyDescent="0.25">
      <c r="A27" t="s">
        <v>221</v>
      </c>
      <c r="B27" s="24" t="s">
        <v>222</v>
      </c>
      <c r="I27" t="s">
        <v>628</v>
      </c>
      <c r="J27" t="s">
        <v>630</v>
      </c>
      <c r="L27" t="s">
        <v>976</v>
      </c>
      <c r="M27">
        <v>110161001</v>
      </c>
    </row>
    <row r="28" spans="1:13" x14ac:dyDescent="0.25">
      <c r="A28" t="s">
        <v>223</v>
      </c>
      <c r="B28" s="24" t="s">
        <v>224</v>
      </c>
      <c r="I28" t="s">
        <v>631</v>
      </c>
      <c r="J28" t="s">
        <v>632</v>
      </c>
      <c r="L28" t="s">
        <v>1068</v>
      </c>
      <c r="M28">
        <v>11016143</v>
      </c>
    </row>
    <row r="29" spans="1:13" x14ac:dyDescent="0.25">
      <c r="A29" t="s">
        <v>115</v>
      </c>
      <c r="B29" s="24" t="s">
        <v>114</v>
      </c>
      <c r="I29" t="s">
        <v>631</v>
      </c>
      <c r="J29" t="s">
        <v>633</v>
      </c>
      <c r="L29" t="s">
        <v>1013</v>
      </c>
      <c r="M29">
        <v>120101001</v>
      </c>
    </row>
    <row r="30" spans="1:13" x14ac:dyDescent="0.25">
      <c r="A30" t="s">
        <v>225</v>
      </c>
      <c r="B30" s="24" t="s">
        <v>226</v>
      </c>
      <c r="I30" t="s">
        <v>634</v>
      </c>
      <c r="J30" t="s">
        <v>635</v>
      </c>
      <c r="L30" t="s">
        <v>970</v>
      </c>
      <c r="M30">
        <v>120101002</v>
      </c>
    </row>
    <row r="31" spans="1:13" x14ac:dyDescent="0.25">
      <c r="A31" t="s">
        <v>227</v>
      </c>
      <c r="B31" s="24" t="s">
        <v>228</v>
      </c>
      <c r="I31" t="s">
        <v>634</v>
      </c>
      <c r="J31" t="s">
        <v>636</v>
      </c>
      <c r="L31" t="s">
        <v>991</v>
      </c>
      <c r="M31">
        <v>120102001</v>
      </c>
    </row>
    <row r="32" spans="1:13" x14ac:dyDescent="0.25">
      <c r="A32" t="s">
        <v>229</v>
      </c>
      <c r="B32" s="24" t="s">
        <v>230</v>
      </c>
      <c r="I32" t="s">
        <v>637</v>
      </c>
      <c r="J32" t="s">
        <v>638</v>
      </c>
      <c r="L32" t="s">
        <v>972</v>
      </c>
      <c r="M32">
        <v>120102002</v>
      </c>
    </row>
    <row r="33" spans="1:13" x14ac:dyDescent="0.25">
      <c r="A33" t="s">
        <v>231</v>
      </c>
      <c r="B33" s="24" t="s">
        <v>232</v>
      </c>
      <c r="I33" t="s">
        <v>637</v>
      </c>
      <c r="J33" t="s">
        <v>639</v>
      </c>
      <c r="L33" t="s">
        <v>1052</v>
      </c>
      <c r="M33">
        <v>120104001</v>
      </c>
    </row>
    <row r="34" spans="1:13" x14ac:dyDescent="0.25">
      <c r="A34" t="s">
        <v>233</v>
      </c>
      <c r="B34" s="24" t="s">
        <v>234</v>
      </c>
      <c r="I34" t="s">
        <v>640</v>
      </c>
      <c r="J34" t="s">
        <v>641</v>
      </c>
      <c r="L34" t="s">
        <v>971</v>
      </c>
      <c r="M34">
        <v>120104002</v>
      </c>
    </row>
    <row r="35" spans="1:13" x14ac:dyDescent="0.25">
      <c r="A35" t="s">
        <v>235</v>
      </c>
      <c r="B35" s="24" t="s">
        <v>236</v>
      </c>
      <c r="I35" t="s">
        <v>640</v>
      </c>
      <c r="J35" t="s">
        <v>642</v>
      </c>
      <c r="L35" t="s">
        <v>938</v>
      </c>
      <c r="M35">
        <v>130101001</v>
      </c>
    </row>
    <row r="36" spans="1:13" x14ac:dyDescent="0.25">
      <c r="A36" t="s">
        <v>237</v>
      </c>
      <c r="B36" s="24" t="s">
        <v>238</v>
      </c>
      <c r="I36" t="s">
        <v>643</v>
      </c>
      <c r="J36" t="s">
        <v>644</v>
      </c>
      <c r="L36" t="s">
        <v>21</v>
      </c>
      <c r="M36">
        <v>210101001</v>
      </c>
    </row>
    <row r="37" spans="1:13" x14ac:dyDescent="0.25">
      <c r="A37" t="s">
        <v>95</v>
      </c>
      <c r="B37" s="24" t="s">
        <v>94</v>
      </c>
      <c r="I37" t="s">
        <v>643</v>
      </c>
      <c r="J37" t="s">
        <v>645</v>
      </c>
      <c r="L37" t="s">
        <v>1069</v>
      </c>
      <c r="M37">
        <v>210115001</v>
      </c>
    </row>
    <row r="38" spans="1:13" x14ac:dyDescent="0.25">
      <c r="A38" t="s">
        <v>239</v>
      </c>
      <c r="B38" s="24" t="s">
        <v>240</v>
      </c>
      <c r="I38" t="s">
        <v>646</v>
      </c>
      <c r="J38" t="s">
        <v>647</v>
      </c>
      <c r="L38" t="s">
        <v>1070</v>
      </c>
      <c r="M38">
        <v>210115002</v>
      </c>
    </row>
    <row r="39" spans="1:13" x14ac:dyDescent="0.25">
      <c r="A39" t="s">
        <v>62</v>
      </c>
      <c r="B39" s="24" t="s">
        <v>61</v>
      </c>
      <c r="I39" t="s">
        <v>646</v>
      </c>
      <c r="J39" t="s">
        <v>648</v>
      </c>
      <c r="L39" t="s">
        <v>1071</v>
      </c>
      <c r="M39">
        <v>210115003</v>
      </c>
    </row>
    <row r="40" spans="1:13" x14ac:dyDescent="0.25">
      <c r="A40" t="s">
        <v>169</v>
      </c>
      <c r="B40" s="24" t="s">
        <v>168</v>
      </c>
      <c r="I40" t="s">
        <v>649</v>
      </c>
      <c r="J40" t="s">
        <v>650</v>
      </c>
      <c r="L40" t="s">
        <v>1072</v>
      </c>
      <c r="M40">
        <v>210115004</v>
      </c>
    </row>
    <row r="41" spans="1:13" x14ac:dyDescent="0.25">
      <c r="A41" t="s">
        <v>241</v>
      </c>
      <c r="B41" s="24" t="s">
        <v>242</v>
      </c>
      <c r="I41" t="s">
        <v>649</v>
      </c>
      <c r="J41" t="s">
        <v>651</v>
      </c>
      <c r="L41" t="s">
        <v>1073</v>
      </c>
      <c r="M41">
        <v>210115005</v>
      </c>
    </row>
    <row r="42" spans="1:13" x14ac:dyDescent="0.25">
      <c r="A42" t="s">
        <v>243</v>
      </c>
      <c r="B42" s="24" t="s">
        <v>244</v>
      </c>
      <c r="I42" t="s">
        <v>652</v>
      </c>
      <c r="J42" t="s">
        <v>653</v>
      </c>
      <c r="L42" t="s">
        <v>1074</v>
      </c>
      <c r="M42">
        <v>210115006</v>
      </c>
    </row>
    <row r="43" spans="1:13" x14ac:dyDescent="0.25">
      <c r="A43" t="s">
        <v>245</v>
      </c>
      <c r="B43" s="24" t="s">
        <v>246</v>
      </c>
      <c r="I43" t="s">
        <v>652</v>
      </c>
      <c r="J43" t="s">
        <v>654</v>
      </c>
      <c r="L43" t="s">
        <v>1075</v>
      </c>
      <c r="M43">
        <v>210115011</v>
      </c>
    </row>
    <row r="44" spans="1:13" x14ac:dyDescent="0.25">
      <c r="A44" t="s">
        <v>247</v>
      </c>
      <c r="B44" s="24" t="s">
        <v>248</v>
      </c>
      <c r="I44" t="s">
        <v>655</v>
      </c>
      <c r="J44" t="s">
        <v>656</v>
      </c>
      <c r="L44" t="s">
        <v>966</v>
      </c>
      <c r="M44">
        <v>210201001</v>
      </c>
    </row>
    <row r="45" spans="1:13" x14ac:dyDescent="0.25">
      <c r="A45" t="s">
        <v>249</v>
      </c>
      <c r="B45" s="24" t="s">
        <v>250</v>
      </c>
      <c r="I45" t="s">
        <v>657</v>
      </c>
      <c r="J45" t="s">
        <v>658</v>
      </c>
      <c r="L45" t="s">
        <v>1076</v>
      </c>
      <c r="M45">
        <v>210201009</v>
      </c>
    </row>
    <row r="46" spans="1:13" x14ac:dyDescent="0.25">
      <c r="A46" t="s">
        <v>251</v>
      </c>
      <c r="B46" s="24" t="s">
        <v>252</v>
      </c>
      <c r="I46" t="s">
        <v>659</v>
      </c>
      <c r="J46" t="s">
        <v>660</v>
      </c>
      <c r="L46" t="s">
        <v>1077</v>
      </c>
      <c r="M46">
        <v>210301001</v>
      </c>
    </row>
    <row r="47" spans="1:13" x14ac:dyDescent="0.25">
      <c r="A47" t="s">
        <v>253</v>
      </c>
      <c r="B47" s="24" t="s">
        <v>254</v>
      </c>
      <c r="I47" t="s">
        <v>659</v>
      </c>
      <c r="J47" t="s">
        <v>661</v>
      </c>
      <c r="L47" t="s">
        <v>993</v>
      </c>
      <c r="M47">
        <v>210401001</v>
      </c>
    </row>
    <row r="48" spans="1:13" x14ac:dyDescent="0.25">
      <c r="A48" t="s">
        <v>255</v>
      </c>
      <c r="B48" s="24" t="s">
        <v>256</v>
      </c>
      <c r="I48" t="s">
        <v>662</v>
      </c>
      <c r="J48" t="s">
        <v>663</v>
      </c>
      <c r="L48" t="s">
        <v>992</v>
      </c>
      <c r="M48">
        <v>210402001</v>
      </c>
    </row>
    <row r="49" spans="1:13" x14ac:dyDescent="0.25">
      <c r="A49" t="s">
        <v>257</v>
      </c>
      <c r="B49" s="24" t="s">
        <v>258</v>
      </c>
      <c r="I49" t="s">
        <v>662</v>
      </c>
      <c r="J49" t="s">
        <v>664</v>
      </c>
      <c r="L49" t="s">
        <v>1028</v>
      </c>
      <c r="M49">
        <v>210403001</v>
      </c>
    </row>
    <row r="50" spans="1:13" x14ac:dyDescent="0.25">
      <c r="A50" t="s">
        <v>259</v>
      </c>
      <c r="B50" s="24" t="s">
        <v>260</v>
      </c>
      <c r="I50" t="s">
        <v>665</v>
      </c>
      <c r="J50" t="s">
        <v>666</v>
      </c>
      <c r="L50" t="s">
        <v>977</v>
      </c>
      <c r="M50">
        <v>210403002</v>
      </c>
    </row>
    <row r="51" spans="1:13" x14ac:dyDescent="0.25">
      <c r="A51" t="s">
        <v>261</v>
      </c>
      <c r="B51" s="24" t="s">
        <v>262</v>
      </c>
      <c r="I51" t="s">
        <v>665</v>
      </c>
      <c r="J51" t="s">
        <v>667</v>
      </c>
      <c r="L51" t="s">
        <v>1029</v>
      </c>
      <c r="M51">
        <v>210404001</v>
      </c>
    </row>
    <row r="52" spans="1:13" x14ac:dyDescent="0.25">
      <c r="A52" t="s">
        <v>263</v>
      </c>
      <c r="B52" s="24" t="s">
        <v>264</v>
      </c>
      <c r="I52" t="s">
        <v>668</v>
      </c>
      <c r="J52" t="s">
        <v>669</v>
      </c>
      <c r="L52" t="s">
        <v>976</v>
      </c>
      <c r="M52">
        <v>210405001</v>
      </c>
    </row>
    <row r="53" spans="1:13" x14ac:dyDescent="0.25">
      <c r="A53" t="s">
        <v>54</v>
      </c>
      <c r="B53" s="24" t="s">
        <v>53</v>
      </c>
      <c r="I53" t="s">
        <v>668</v>
      </c>
      <c r="J53" t="s">
        <v>670</v>
      </c>
      <c r="L53" t="s">
        <v>995</v>
      </c>
      <c r="M53">
        <v>210406001</v>
      </c>
    </row>
    <row r="54" spans="1:13" x14ac:dyDescent="0.25">
      <c r="A54" t="s">
        <v>265</v>
      </c>
      <c r="B54" s="24" t="s">
        <v>266</v>
      </c>
      <c r="I54" t="s">
        <v>671</v>
      </c>
      <c r="J54" t="s">
        <v>672</v>
      </c>
      <c r="L54" t="s">
        <v>994</v>
      </c>
      <c r="M54">
        <v>210501001</v>
      </c>
    </row>
    <row r="55" spans="1:13" x14ac:dyDescent="0.25">
      <c r="A55" t="s">
        <v>267</v>
      </c>
      <c r="B55" s="24" t="s">
        <v>268</v>
      </c>
      <c r="I55" t="s">
        <v>671</v>
      </c>
      <c r="J55" t="s">
        <v>673</v>
      </c>
      <c r="L55" t="s">
        <v>968</v>
      </c>
      <c r="M55">
        <v>210501002</v>
      </c>
    </row>
    <row r="56" spans="1:13" x14ac:dyDescent="0.25">
      <c r="A56" t="s">
        <v>269</v>
      </c>
      <c r="B56" s="24" t="s">
        <v>270</v>
      </c>
      <c r="I56" t="s">
        <v>674</v>
      </c>
      <c r="J56" t="s">
        <v>675</v>
      </c>
      <c r="L56" t="s">
        <v>1027</v>
      </c>
      <c r="M56">
        <v>210601001</v>
      </c>
    </row>
    <row r="57" spans="1:13" x14ac:dyDescent="0.25">
      <c r="A57" t="s">
        <v>271</v>
      </c>
      <c r="B57" s="24" t="s">
        <v>272</v>
      </c>
      <c r="I57" t="s">
        <v>674</v>
      </c>
      <c r="J57" t="s">
        <v>676</v>
      </c>
      <c r="L57" t="s">
        <v>1031</v>
      </c>
      <c r="M57">
        <v>210701001</v>
      </c>
    </row>
    <row r="58" spans="1:13" x14ac:dyDescent="0.25">
      <c r="A58" t="s">
        <v>23</v>
      </c>
      <c r="B58" s="24" t="s">
        <v>39</v>
      </c>
      <c r="I58" t="s">
        <v>677</v>
      </c>
      <c r="J58" t="s">
        <v>678</v>
      </c>
      <c r="L58" t="s">
        <v>1078</v>
      </c>
      <c r="M58">
        <v>210701002</v>
      </c>
    </row>
    <row r="59" spans="1:13" x14ac:dyDescent="0.25">
      <c r="A59" t="s">
        <v>273</v>
      </c>
      <c r="B59" s="24" t="s">
        <v>274</v>
      </c>
      <c r="I59" t="s">
        <v>677</v>
      </c>
      <c r="J59" t="s">
        <v>679</v>
      </c>
      <c r="L59" t="s">
        <v>1030</v>
      </c>
      <c r="M59">
        <v>210801001</v>
      </c>
    </row>
    <row r="60" spans="1:13" x14ac:dyDescent="0.25">
      <c r="A60" t="s">
        <v>117</v>
      </c>
      <c r="B60" s="24" t="s">
        <v>116</v>
      </c>
      <c r="I60" t="s">
        <v>680</v>
      </c>
      <c r="J60" t="s">
        <v>681</v>
      </c>
      <c r="L60" t="s">
        <v>1032</v>
      </c>
      <c r="M60">
        <v>210801002</v>
      </c>
    </row>
    <row r="61" spans="1:13" x14ac:dyDescent="0.25">
      <c r="A61" t="s">
        <v>275</v>
      </c>
      <c r="B61" s="24" t="s">
        <v>276</v>
      </c>
      <c r="I61" t="s">
        <v>680</v>
      </c>
      <c r="J61" t="s">
        <v>682</v>
      </c>
      <c r="L61" t="s">
        <v>1079</v>
      </c>
      <c r="M61">
        <v>210801003</v>
      </c>
    </row>
    <row r="62" spans="1:13" x14ac:dyDescent="0.25">
      <c r="A62" t="s">
        <v>277</v>
      </c>
      <c r="B62" s="24" t="s">
        <v>278</v>
      </c>
      <c r="I62" t="s">
        <v>683</v>
      </c>
      <c r="J62" t="s">
        <v>684</v>
      </c>
      <c r="L62" t="s">
        <v>1080</v>
      </c>
      <c r="M62">
        <v>210801004</v>
      </c>
    </row>
    <row r="63" spans="1:13" x14ac:dyDescent="0.25">
      <c r="A63" t="s">
        <v>69</v>
      </c>
      <c r="B63" s="24" t="s">
        <v>68</v>
      </c>
      <c r="I63" t="s">
        <v>683</v>
      </c>
      <c r="J63" t="s">
        <v>685</v>
      </c>
      <c r="L63" t="s">
        <v>1081</v>
      </c>
      <c r="M63">
        <v>210901001</v>
      </c>
    </row>
    <row r="64" spans="1:13" x14ac:dyDescent="0.25">
      <c r="A64" t="s">
        <v>83</v>
      </c>
      <c r="B64" s="24" t="s">
        <v>82</v>
      </c>
      <c r="I64" t="s">
        <v>686</v>
      </c>
      <c r="J64" t="s">
        <v>687</v>
      </c>
      <c r="L64" t="s">
        <v>1082</v>
      </c>
      <c r="M64">
        <v>210901099</v>
      </c>
    </row>
    <row r="65" spans="1:13" x14ac:dyDescent="0.25">
      <c r="A65" t="s">
        <v>91</v>
      </c>
      <c r="B65" s="24" t="s">
        <v>90</v>
      </c>
      <c r="I65" t="s">
        <v>686</v>
      </c>
      <c r="J65" t="s">
        <v>688</v>
      </c>
      <c r="L65" t="s">
        <v>1026</v>
      </c>
      <c r="M65">
        <v>211001001</v>
      </c>
    </row>
    <row r="66" spans="1:13" x14ac:dyDescent="0.25">
      <c r="A66" t="s">
        <v>279</v>
      </c>
      <c r="B66" s="24" t="s">
        <v>280</v>
      </c>
      <c r="I66" t="s">
        <v>689</v>
      </c>
      <c r="J66" t="s">
        <v>690</v>
      </c>
      <c r="L66" t="s">
        <v>998</v>
      </c>
      <c r="M66">
        <v>211001002</v>
      </c>
    </row>
    <row r="67" spans="1:13" x14ac:dyDescent="0.25">
      <c r="A67" t="s">
        <v>87</v>
      </c>
      <c r="B67" s="24" t="s">
        <v>86</v>
      </c>
      <c r="I67" t="s">
        <v>689</v>
      </c>
      <c r="J67" t="s">
        <v>691</v>
      </c>
      <c r="L67" t="s">
        <v>999</v>
      </c>
      <c r="M67">
        <v>211001003</v>
      </c>
    </row>
    <row r="68" spans="1:13" x14ac:dyDescent="0.25">
      <c r="A68" t="s">
        <v>281</v>
      </c>
      <c r="B68" s="24" t="s">
        <v>282</v>
      </c>
      <c r="I68" t="s">
        <v>692</v>
      </c>
      <c r="J68" t="s">
        <v>693</v>
      </c>
      <c r="L68" t="s">
        <v>1083</v>
      </c>
      <c r="M68">
        <v>211101001</v>
      </c>
    </row>
    <row r="69" spans="1:13" x14ac:dyDescent="0.25">
      <c r="A69" t="s">
        <v>136</v>
      </c>
      <c r="B69" s="24" t="s">
        <v>135</v>
      </c>
      <c r="I69" t="s">
        <v>692</v>
      </c>
      <c r="J69" t="s">
        <v>694</v>
      </c>
      <c r="L69" t="s">
        <v>1084</v>
      </c>
      <c r="M69">
        <v>211201001</v>
      </c>
    </row>
    <row r="70" spans="1:13" x14ac:dyDescent="0.25">
      <c r="A70" t="s">
        <v>140</v>
      </c>
      <c r="B70" s="24" t="s">
        <v>139</v>
      </c>
      <c r="I70" t="s">
        <v>695</v>
      </c>
      <c r="J70" t="s">
        <v>696</v>
      </c>
      <c r="L70" t="s">
        <v>1085</v>
      </c>
      <c r="M70">
        <v>211501001</v>
      </c>
    </row>
    <row r="71" spans="1:13" x14ac:dyDescent="0.25">
      <c r="A71" t="s">
        <v>138</v>
      </c>
      <c r="B71" s="24" t="s">
        <v>137</v>
      </c>
      <c r="I71" t="s">
        <v>695</v>
      </c>
      <c r="J71" t="s">
        <v>697</v>
      </c>
      <c r="L71" t="s">
        <v>1025</v>
      </c>
      <c r="M71">
        <v>212601001</v>
      </c>
    </row>
    <row r="72" spans="1:13" x14ac:dyDescent="0.25">
      <c r="A72" t="s">
        <v>283</v>
      </c>
      <c r="B72" s="24" t="s">
        <v>284</v>
      </c>
      <c r="I72" t="s">
        <v>698</v>
      </c>
      <c r="J72" t="s">
        <v>699</v>
      </c>
      <c r="L72" t="s">
        <v>1041</v>
      </c>
      <c r="M72">
        <v>212901001</v>
      </c>
    </row>
    <row r="73" spans="1:13" x14ac:dyDescent="0.25">
      <c r="A73" t="s">
        <v>144</v>
      </c>
      <c r="B73" s="24" t="s">
        <v>143</v>
      </c>
      <c r="I73" t="s">
        <v>698</v>
      </c>
      <c r="J73" t="s">
        <v>700</v>
      </c>
      <c r="L73" t="s">
        <v>967</v>
      </c>
      <c r="M73">
        <v>212901002</v>
      </c>
    </row>
    <row r="74" spans="1:13" x14ac:dyDescent="0.25">
      <c r="A74" t="s">
        <v>152</v>
      </c>
      <c r="B74" s="24" t="s">
        <v>151</v>
      </c>
      <c r="I74" t="s">
        <v>701</v>
      </c>
      <c r="J74" t="s">
        <v>702</v>
      </c>
      <c r="L74" t="s">
        <v>1086</v>
      </c>
      <c r="M74">
        <v>213001001</v>
      </c>
    </row>
    <row r="75" spans="1:13" x14ac:dyDescent="0.25">
      <c r="A75" t="s">
        <v>126</v>
      </c>
      <c r="B75" s="24" t="s">
        <v>125</v>
      </c>
      <c r="I75" t="s">
        <v>701</v>
      </c>
      <c r="J75" t="s">
        <v>703</v>
      </c>
      <c r="L75" t="s">
        <v>1034</v>
      </c>
      <c r="M75">
        <v>213101001</v>
      </c>
    </row>
    <row r="76" spans="1:13" x14ac:dyDescent="0.25">
      <c r="A76" t="s">
        <v>132</v>
      </c>
      <c r="B76" s="24" t="s">
        <v>131</v>
      </c>
      <c r="I76" t="s">
        <v>704</v>
      </c>
      <c r="J76" t="s">
        <v>705</v>
      </c>
      <c r="L76" t="s">
        <v>953</v>
      </c>
      <c r="M76">
        <v>213201001</v>
      </c>
    </row>
    <row r="77" spans="1:13" x14ac:dyDescent="0.25">
      <c r="A77" t="s">
        <v>128</v>
      </c>
      <c r="B77" s="24" t="s">
        <v>127</v>
      </c>
      <c r="I77" t="s">
        <v>704</v>
      </c>
      <c r="J77" t="s">
        <v>706</v>
      </c>
      <c r="L77" t="s">
        <v>1021</v>
      </c>
      <c r="M77">
        <v>213401001</v>
      </c>
    </row>
    <row r="78" spans="1:13" x14ac:dyDescent="0.25">
      <c r="A78" t="s">
        <v>159</v>
      </c>
      <c r="B78" s="24" t="s">
        <v>158</v>
      </c>
      <c r="I78" t="s">
        <v>707</v>
      </c>
      <c r="J78" t="s">
        <v>708</v>
      </c>
      <c r="L78" t="s">
        <v>959</v>
      </c>
      <c r="M78">
        <v>310101001</v>
      </c>
    </row>
    <row r="79" spans="1:13" x14ac:dyDescent="0.25">
      <c r="A79" t="s">
        <v>157</v>
      </c>
      <c r="B79" s="24" t="s">
        <v>27</v>
      </c>
      <c r="I79" t="s">
        <v>707</v>
      </c>
      <c r="J79" t="s">
        <v>709</v>
      </c>
      <c r="L79" t="s">
        <v>952</v>
      </c>
      <c r="M79">
        <v>310101002</v>
      </c>
    </row>
    <row r="80" spans="1:13" x14ac:dyDescent="0.25">
      <c r="A80" t="s">
        <v>161</v>
      </c>
      <c r="B80" s="24" t="s">
        <v>160</v>
      </c>
      <c r="I80" t="s">
        <v>710</v>
      </c>
      <c r="J80" t="s">
        <v>711</v>
      </c>
      <c r="L80" t="s">
        <v>1047</v>
      </c>
      <c r="M80">
        <v>310201001</v>
      </c>
    </row>
    <row r="81" spans="1:13" x14ac:dyDescent="0.25">
      <c r="A81" t="s">
        <v>148</v>
      </c>
      <c r="B81" s="24" t="s">
        <v>147</v>
      </c>
      <c r="I81" t="s">
        <v>710</v>
      </c>
      <c r="J81" t="s">
        <v>712</v>
      </c>
      <c r="L81" t="s">
        <v>1048</v>
      </c>
      <c r="M81">
        <v>310202001</v>
      </c>
    </row>
    <row r="82" spans="1:13" x14ac:dyDescent="0.25">
      <c r="A82" t="s">
        <v>156</v>
      </c>
      <c r="B82" s="24" t="s">
        <v>155</v>
      </c>
      <c r="I82" t="s">
        <v>713</v>
      </c>
      <c r="J82" t="s">
        <v>714</v>
      </c>
      <c r="L82" t="s">
        <v>1016</v>
      </c>
      <c r="M82">
        <v>310301001</v>
      </c>
    </row>
    <row r="83" spans="1:13" x14ac:dyDescent="0.25">
      <c r="A83" t="s">
        <v>154</v>
      </c>
      <c r="B83" s="24" t="s">
        <v>153</v>
      </c>
      <c r="I83" t="s">
        <v>713</v>
      </c>
      <c r="J83" t="s">
        <v>715</v>
      </c>
      <c r="L83" t="s">
        <v>1015</v>
      </c>
      <c r="M83">
        <v>310302001</v>
      </c>
    </row>
    <row r="84" spans="1:13" x14ac:dyDescent="0.25">
      <c r="A84" t="s">
        <v>146</v>
      </c>
      <c r="B84" s="24" t="s">
        <v>145</v>
      </c>
      <c r="I84" t="s">
        <v>716</v>
      </c>
      <c r="J84" t="s">
        <v>717</v>
      </c>
      <c r="L84" t="s">
        <v>1017</v>
      </c>
      <c r="M84">
        <v>310303001</v>
      </c>
    </row>
    <row r="85" spans="1:13" x14ac:dyDescent="0.25">
      <c r="A85" t="s">
        <v>130</v>
      </c>
      <c r="B85" s="24" t="s">
        <v>129</v>
      </c>
      <c r="I85" t="s">
        <v>716</v>
      </c>
      <c r="J85" t="s">
        <v>718</v>
      </c>
      <c r="L85" t="s">
        <v>1050</v>
      </c>
      <c r="M85">
        <v>310401001</v>
      </c>
    </row>
    <row r="86" spans="1:13" x14ac:dyDescent="0.25">
      <c r="A86" t="s">
        <v>150</v>
      </c>
      <c r="B86" s="24" t="s">
        <v>149</v>
      </c>
      <c r="I86" t="s">
        <v>719</v>
      </c>
      <c r="J86" t="s">
        <v>720</v>
      </c>
      <c r="L86" t="s">
        <v>1018</v>
      </c>
      <c r="M86">
        <v>310402001</v>
      </c>
    </row>
    <row r="87" spans="1:13" x14ac:dyDescent="0.25">
      <c r="A87" t="s">
        <v>124</v>
      </c>
      <c r="B87" s="24" t="s">
        <v>123</v>
      </c>
      <c r="I87" t="s">
        <v>721</v>
      </c>
      <c r="J87" t="s">
        <v>722</v>
      </c>
      <c r="L87" t="s">
        <v>1046</v>
      </c>
      <c r="M87">
        <v>310403001</v>
      </c>
    </row>
    <row r="88" spans="1:13" x14ac:dyDescent="0.25">
      <c r="A88" t="s">
        <v>163</v>
      </c>
      <c r="B88" s="24" t="s">
        <v>162</v>
      </c>
      <c r="I88" t="s">
        <v>723</v>
      </c>
      <c r="J88" t="s">
        <v>724</v>
      </c>
      <c r="L88" t="s">
        <v>1018</v>
      </c>
      <c r="M88">
        <v>310601001</v>
      </c>
    </row>
    <row r="89" spans="1:13" x14ac:dyDescent="0.25">
      <c r="A89" t="s">
        <v>142</v>
      </c>
      <c r="B89" s="24" t="s">
        <v>141</v>
      </c>
      <c r="I89" t="s">
        <v>723</v>
      </c>
      <c r="J89" t="s">
        <v>725</v>
      </c>
      <c r="L89" t="s">
        <v>1024</v>
      </c>
      <c r="M89">
        <v>310801001</v>
      </c>
    </row>
    <row r="90" spans="1:13" x14ac:dyDescent="0.25">
      <c r="A90" t="s">
        <v>134</v>
      </c>
      <c r="B90" s="24" t="s">
        <v>133</v>
      </c>
      <c r="I90" t="s">
        <v>726</v>
      </c>
      <c r="J90" t="s">
        <v>727</v>
      </c>
      <c r="L90" t="s">
        <v>949</v>
      </c>
      <c r="M90">
        <v>312001001</v>
      </c>
    </row>
    <row r="91" spans="1:13" x14ac:dyDescent="0.25">
      <c r="A91" t="s">
        <v>85</v>
      </c>
      <c r="B91" s="24" t="s">
        <v>84</v>
      </c>
      <c r="I91" t="s">
        <v>726</v>
      </c>
      <c r="J91" t="s">
        <v>728</v>
      </c>
      <c r="L91" t="s">
        <v>1002</v>
      </c>
      <c r="M91">
        <v>410101001</v>
      </c>
    </row>
    <row r="92" spans="1:13" x14ac:dyDescent="0.25">
      <c r="A92" t="s">
        <v>285</v>
      </c>
      <c r="B92" s="24" t="s">
        <v>286</v>
      </c>
      <c r="I92" t="s">
        <v>729</v>
      </c>
      <c r="J92" t="s">
        <v>730</v>
      </c>
      <c r="L92" t="s">
        <v>1001</v>
      </c>
      <c r="M92">
        <v>410101002</v>
      </c>
    </row>
    <row r="93" spans="1:13" x14ac:dyDescent="0.25">
      <c r="A93" t="s">
        <v>287</v>
      </c>
      <c r="B93" s="24" t="s">
        <v>288</v>
      </c>
      <c r="I93" t="s">
        <v>729</v>
      </c>
      <c r="J93" t="s">
        <v>731</v>
      </c>
      <c r="L93" t="s">
        <v>973</v>
      </c>
      <c r="M93">
        <v>410202001</v>
      </c>
    </row>
    <row r="94" spans="1:13" x14ac:dyDescent="0.25">
      <c r="A94" t="s">
        <v>289</v>
      </c>
      <c r="B94" s="24" t="s">
        <v>290</v>
      </c>
      <c r="I94" t="s">
        <v>732</v>
      </c>
      <c r="J94" t="s">
        <v>733</v>
      </c>
      <c r="L94" t="s">
        <v>1000</v>
      </c>
      <c r="M94">
        <v>420101001</v>
      </c>
    </row>
    <row r="95" spans="1:13" x14ac:dyDescent="0.25">
      <c r="A95" t="s">
        <v>291</v>
      </c>
      <c r="B95" s="24" t="s">
        <v>292</v>
      </c>
      <c r="I95" t="s">
        <v>732</v>
      </c>
      <c r="J95" t="s">
        <v>734</v>
      </c>
      <c r="L95" t="s">
        <v>1003</v>
      </c>
      <c r="M95">
        <v>510101001</v>
      </c>
    </row>
    <row r="96" spans="1:13" x14ac:dyDescent="0.25">
      <c r="A96" t="s">
        <v>293</v>
      </c>
      <c r="B96" s="24" t="s">
        <v>294</v>
      </c>
      <c r="I96" t="s">
        <v>735</v>
      </c>
      <c r="J96" t="s">
        <v>736</v>
      </c>
      <c r="L96" t="s">
        <v>963</v>
      </c>
      <c r="M96">
        <v>510101002</v>
      </c>
    </row>
    <row r="97" spans="1:13" x14ac:dyDescent="0.25">
      <c r="A97" t="s">
        <v>295</v>
      </c>
      <c r="B97" s="24" t="s">
        <v>296</v>
      </c>
      <c r="I97" t="s">
        <v>735</v>
      </c>
      <c r="J97" t="s">
        <v>737</v>
      </c>
      <c r="L97" t="s">
        <v>962</v>
      </c>
      <c r="M97">
        <v>510101004</v>
      </c>
    </row>
    <row r="98" spans="1:13" x14ac:dyDescent="0.25">
      <c r="A98" t="s">
        <v>297</v>
      </c>
      <c r="B98" s="24" t="s">
        <v>174</v>
      </c>
      <c r="I98" t="s">
        <v>738</v>
      </c>
      <c r="J98" t="s">
        <v>739</v>
      </c>
      <c r="L98" t="s">
        <v>1087</v>
      </c>
      <c r="M98">
        <v>510101008</v>
      </c>
    </row>
    <row r="99" spans="1:13" x14ac:dyDescent="0.25">
      <c r="A99" t="s">
        <v>99</v>
      </c>
      <c r="B99" s="24" t="s">
        <v>98</v>
      </c>
      <c r="I99" t="s">
        <v>738</v>
      </c>
      <c r="J99" t="s">
        <v>740</v>
      </c>
      <c r="L99" t="s">
        <v>1007</v>
      </c>
      <c r="M99">
        <v>510101020</v>
      </c>
    </row>
    <row r="100" spans="1:13" x14ac:dyDescent="0.25">
      <c r="A100" t="s">
        <v>165</v>
      </c>
      <c r="B100" s="24" t="s">
        <v>164</v>
      </c>
      <c r="I100" t="s">
        <v>741</v>
      </c>
      <c r="J100" t="s">
        <v>742</v>
      </c>
      <c r="L100" t="s">
        <v>1006</v>
      </c>
      <c r="M100">
        <v>510101021</v>
      </c>
    </row>
    <row r="101" spans="1:13" x14ac:dyDescent="0.25">
      <c r="A101" t="s">
        <v>298</v>
      </c>
      <c r="B101" s="24" t="s">
        <v>299</v>
      </c>
      <c r="I101" t="s">
        <v>741</v>
      </c>
      <c r="J101" t="s">
        <v>743</v>
      </c>
      <c r="L101" t="s">
        <v>1039</v>
      </c>
      <c r="M101">
        <v>510202001</v>
      </c>
    </row>
    <row r="102" spans="1:13" x14ac:dyDescent="0.25">
      <c r="A102" t="s">
        <v>300</v>
      </c>
      <c r="B102" s="24" t="s">
        <v>301</v>
      </c>
      <c r="I102" t="s">
        <v>744</v>
      </c>
      <c r="J102" t="s">
        <v>745</v>
      </c>
      <c r="L102" t="s">
        <v>930</v>
      </c>
      <c r="M102">
        <v>520101001</v>
      </c>
    </row>
    <row r="103" spans="1:13" x14ac:dyDescent="0.25">
      <c r="A103" t="s">
        <v>302</v>
      </c>
      <c r="B103" s="24" t="s">
        <v>303</v>
      </c>
      <c r="I103" t="s">
        <v>744</v>
      </c>
      <c r="J103" t="s">
        <v>746</v>
      </c>
      <c r="L103" t="s">
        <v>996</v>
      </c>
      <c r="M103">
        <v>530101001</v>
      </c>
    </row>
    <row r="104" spans="1:13" x14ac:dyDescent="0.25">
      <c r="A104" t="s">
        <v>304</v>
      </c>
      <c r="B104" s="24" t="s">
        <v>305</v>
      </c>
      <c r="I104" t="s">
        <v>747</v>
      </c>
      <c r="J104" t="s">
        <v>748</v>
      </c>
      <c r="L104" t="s">
        <v>940</v>
      </c>
      <c r="M104">
        <v>540101001</v>
      </c>
    </row>
    <row r="105" spans="1:13" x14ac:dyDescent="0.25">
      <c r="A105" t="s">
        <v>306</v>
      </c>
      <c r="B105" s="24" t="s">
        <v>307</v>
      </c>
      <c r="I105" t="s">
        <v>747</v>
      </c>
      <c r="J105" t="s">
        <v>749</v>
      </c>
      <c r="L105" t="s">
        <v>961</v>
      </c>
      <c r="M105">
        <v>550101001</v>
      </c>
    </row>
    <row r="106" spans="1:13" x14ac:dyDescent="0.25">
      <c r="A106" t="s">
        <v>308</v>
      </c>
      <c r="B106" s="24" t="s">
        <v>309</v>
      </c>
      <c r="I106" t="s">
        <v>750</v>
      </c>
      <c r="J106" t="s">
        <v>751</v>
      </c>
      <c r="L106" t="s">
        <v>1035</v>
      </c>
      <c r="M106">
        <v>560101001</v>
      </c>
    </row>
    <row r="107" spans="1:13" x14ac:dyDescent="0.25">
      <c r="A107" t="s">
        <v>77</v>
      </c>
      <c r="B107" s="24" t="s">
        <v>76</v>
      </c>
      <c r="I107" t="s">
        <v>750</v>
      </c>
      <c r="J107" t="s">
        <v>752</v>
      </c>
      <c r="L107" t="s">
        <v>937</v>
      </c>
      <c r="M107">
        <v>570101001</v>
      </c>
    </row>
    <row r="108" spans="1:13" x14ac:dyDescent="0.25">
      <c r="A108" t="s">
        <v>310</v>
      </c>
      <c r="B108" s="24" t="s">
        <v>311</v>
      </c>
      <c r="I108" t="s">
        <v>753</v>
      </c>
      <c r="J108" t="s">
        <v>754</v>
      </c>
      <c r="L108" t="s">
        <v>1011</v>
      </c>
      <c r="M108">
        <v>580101001</v>
      </c>
    </row>
    <row r="109" spans="1:13" x14ac:dyDescent="0.25">
      <c r="A109" t="s">
        <v>312</v>
      </c>
      <c r="B109" s="24" t="s">
        <v>175</v>
      </c>
      <c r="I109" t="s">
        <v>753</v>
      </c>
      <c r="J109" t="s">
        <v>755</v>
      </c>
      <c r="L109" t="s">
        <v>101</v>
      </c>
      <c r="M109">
        <v>610101001</v>
      </c>
    </row>
    <row r="110" spans="1:13" x14ac:dyDescent="0.25">
      <c r="A110" t="s">
        <v>313</v>
      </c>
      <c r="B110" s="24" t="s">
        <v>314</v>
      </c>
      <c r="I110" t="s">
        <v>756</v>
      </c>
      <c r="J110" t="s">
        <v>757</v>
      </c>
      <c r="L110" t="s">
        <v>1088</v>
      </c>
      <c r="M110">
        <v>610101002</v>
      </c>
    </row>
    <row r="111" spans="1:13" x14ac:dyDescent="0.25">
      <c r="A111" t="s">
        <v>315</v>
      </c>
      <c r="B111" s="24" t="s">
        <v>316</v>
      </c>
      <c r="I111" t="s">
        <v>756</v>
      </c>
      <c r="J111" t="s">
        <v>758</v>
      </c>
      <c r="L111" t="s">
        <v>1051</v>
      </c>
      <c r="M111">
        <v>610101003</v>
      </c>
    </row>
    <row r="112" spans="1:13" x14ac:dyDescent="0.25">
      <c r="A112" t="s">
        <v>317</v>
      </c>
      <c r="B112" s="24" t="s">
        <v>318</v>
      </c>
      <c r="I112" t="s">
        <v>759</v>
      </c>
      <c r="J112" t="s">
        <v>760</v>
      </c>
      <c r="L112" t="s">
        <v>1049</v>
      </c>
      <c r="M112">
        <v>610101004</v>
      </c>
    </row>
    <row r="113" spans="1:13" x14ac:dyDescent="0.25">
      <c r="A113" t="s">
        <v>319</v>
      </c>
      <c r="B113" s="24" t="s">
        <v>320</v>
      </c>
      <c r="I113" t="s">
        <v>759</v>
      </c>
      <c r="J113" t="s">
        <v>761</v>
      </c>
      <c r="L113" t="s">
        <v>1019</v>
      </c>
      <c r="M113">
        <v>610101005</v>
      </c>
    </row>
    <row r="114" spans="1:13" x14ac:dyDescent="0.25">
      <c r="A114" t="s">
        <v>321</v>
      </c>
      <c r="B114" s="24" t="s">
        <v>322</v>
      </c>
      <c r="I114" t="s">
        <v>762</v>
      </c>
      <c r="J114" t="s">
        <v>763</v>
      </c>
      <c r="L114" t="s">
        <v>956</v>
      </c>
      <c r="M114">
        <v>610101006</v>
      </c>
    </row>
    <row r="115" spans="1:13" x14ac:dyDescent="0.25">
      <c r="A115" t="s">
        <v>323</v>
      </c>
      <c r="B115" s="24" t="s">
        <v>324</v>
      </c>
      <c r="I115" t="s">
        <v>762</v>
      </c>
      <c r="J115" t="s">
        <v>764</v>
      </c>
      <c r="L115" t="s">
        <v>954</v>
      </c>
      <c r="M115">
        <v>610101007</v>
      </c>
    </row>
    <row r="116" spans="1:13" x14ac:dyDescent="0.25">
      <c r="A116" t="s">
        <v>325</v>
      </c>
      <c r="B116" s="24" t="s">
        <v>326</v>
      </c>
      <c r="I116" t="s">
        <v>765</v>
      </c>
      <c r="J116" t="s">
        <v>766</v>
      </c>
      <c r="L116" t="s">
        <v>1089</v>
      </c>
      <c r="M116">
        <v>610101099</v>
      </c>
    </row>
    <row r="117" spans="1:13" x14ac:dyDescent="0.25">
      <c r="A117" t="s">
        <v>327</v>
      </c>
      <c r="B117" s="24" t="s">
        <v>328</v>
      </c>
      <c r="I117" t="s">
        <v>765</v>
      </c>
      <c r="J117" t="s">
        <v>767</v>
      </c>
      <c r="L117" t="s">
        <v>948</v>
      </c>
      <c r="M117">
        <v>610102001</v>
      </c>
    </row>
    <row r="118" spans="1:13" x14ac:dyDescent="0.25">
      <c r="A118" t="s">
        <v>329</v>
      </c>
      <c r="B118" s="24" t="s">
        <v>330</v>
      </c>
      <c r="I118" t="s">
        <v>768</v>
      </c>
      <c r="J118" t="s">
        <v>769</v>
      </c>
      <c r="L118" t="s">
        <v>947</v>
      </c>
      <c r="M118">
        <v>610102002</v>
      </c>
    </row>
    <row r="119" spans="1:13" x14ac:dyDescent="0.25">
      <c r="A119" t="s">
        <v>106</v>
      </c>
      <c r="B119" s="24" t="s">
        <v>105</v>
      </c>
      <c r="I119" t="s">
        <v>768</v>
      </c>
      <c r="J119" t="s">
        <v>770</v>
      </c>
      <c r="L119" t="s">
        <v>944</v>
      </c>
      <c r="M119">
        <v>610102003</v>
      </c>
    </row>
    <row r="120" spans="1:13" x14ac:dyDescent="0.25">
      <c r="A120" t="s">
        <v>331</v>
      </c>
      <c r="B120" s="24" t="s">
        <v>332</v>
      </c>
      <c r="I120" t="s">
        <v>771</v>
      </c>
      <c r="J120" t="s">
        <v>772</v>
      </c>
      <c r="L120" t="s">
        <v>945</v>
      </c>
      <c r="M120">
        <v>610102004</v>
      </c>
    </row>
    <row r="121" spans="1:13" x14ac:dyDescent="0.25">
      <c r="A121" t="s">
        <v>333</v>
      </c>
      <c r="B121" s="24" t="s">
        <v>334</v>
      </c>
      <c r="I121" t="s">
        <v>771</v>
      </c>
      <c r="J121" t="s">
        <v>773</v>
      </c>
      <c r="L121" t="s">
        <v>946</v>
      </c>
      <c r="M121">
        <v>610102005</v>
      </c>
    </row>
    <row r="122" spans="1:13" x14ac:dyDescent="0.25">
      <c r="A122" t="s">
        <v>335</v>
      </c>
      <c r="B122" s="24" t="s">
        <v>336</v>
      </c>
      <c r="I122" t="s">
        <v>774</v>
      </c>
      <c r="J122" t="s">
        <v>775</v>
      </c>
      <c r="L122" t="s">
        <v>1090</v>
      </c>
      <c r="M122">
        <v>610102006</v>
      </c>
    </row>
    <row r="123" spans="1:13" x14ac:dyDescent="0.25">
      <c r="A123" t="s">
        <v>111</v>
      </c>
      <c r="B123" s="24" t="s">
        <v>110</v>
      </c>
      <c r="I123" t="s">
        <v>774</v>
      </c>
      <c r="J123" t="s">
        <v>776</v>
      </c>
      <c r="L123" t="s">
        <v>955</v>
      </c>
      <c r="M123">
        <v>610104001</v>
      </c>
    </row>
    <row r="124" spans="1:13" x14ac:dyDescent="0.25">
      <c r="A124" t="s">
        <v>113</v>
      </c>
      <c r="B124" s="24" t="s">
        <v>112</v>
      </c>
      <c r="I124" t="s">
        <v>777</v>
      </c>
      <c r="J124" t="s">
        <v>778</v>
      </c>
      <c r="L124" t="s">
        <v>950</v>
      </c>
      <c r="M124">
        <v>610105001</v>
      </c>
    </row>
    <row r="125" spans="1:13" x14ac:dyDescent="0.25">
      <c r="A125" t="s">
        <v>58</v>
      </c>
      <c r="B125" s="24" t="s">
        <v>57</v>
      </c>
      <c r="I125" t="s">
        <v>777</v>
      </c>
      <c r="J125" t="s">
        <v>779</v>
      </c>
      <c r="L125" t="s">
        <v>978</v>
      </c>
      <c r="M125">
        <v>610106001</v>
      </c>
    </row>
    <row r="126" spans="1:13" x14ac:dyDescent="0.25">
      <c r="A126" t="s">
        <v>24</v>
      </c>
      <c r="B126" s="24" t="s">
        <v>65</v>
      </c>
      <c r="I126" t="s">
        <v>780</v>
      </c>
      <c r="J126" t="s">
        <v>781</v>
      </c>
      <c r="L126" t="s">
        <v>1091</v>
      </c>
      <c r="M126">
        <v>610107001</v>
      </c>
    </row>
    <row r="127" spans="1:13" x14ac:dyDescent="0.25">
      <c r="A127" t="s">
        <v>337</v>
      </c>
      <c r="B127" s="24" t="s">
        <v>338</v>
      </c>
      <c r="I127" t="s">
        <v>780</v>
      </c>
      <c r="J127" t="s">
        <v>782</v>
      </c>
      <c r="L127" t="s">
        <v>988</v>
      </c>
      <c r="M127">
        <v>610108001</v>
      </c>
    </row>
    <row r="128" spans="1:13" x14ac:dyDescent="0.25">
      <c r="A128" t="s">
        <v>339</v>
      </c>
      <c r="B128" s="24" t="s">
        <v>340</v>
      </c>
      <c r="I128" t="s">
        <v>783</v>
      </c>
      <c r="J128" t="s">
        <v>784</v>
      </c>
      <c r="L128" t="s">
        <v>1022</v>
      </c>
      <c r="M128">
        <v>610109001</v>
      </c>
    </row>
    <row r="129" spans="1:13" x14ac:dyDescent="0.25">
      <c r="A129" t="s">
        <v>341</v>
      </c>
      <c r="B129" s="24" t="s">
        <v>342</v>
      </c>
      <c r="I129" t="s">
        <v>783</v>
      </c>
      <c r="J129" t="s">
        <v>785</v>
      </c>
      <c r="L129" t="s">
        <v>1014</v>
      </c>
      <c r="M129">
        <v>610113001</v>
      </c>
    </row>
    <row r="130" spans="1:13" x14ac:dyDescent="0.25">
      <c r="A130" t="s">
        <v>343</v>
      </c>
      <c r="B130" s="24" t="s">
        <v>344</v>
      </c>
      <c r="I130" t="s">
        <v>786</v>
      </c>
      <c r="J130" t="s">
        <v>787</v>
      </c>
      <c r="L130" t="s">
        <v>981</v>
      </c>
      <c r="M130">
        <v>610114001</v>
      </c>
    </row>
    <row r="131" spans="1:13" x14ac:dyDescent="0.25">
      <c r="A131" t="s">
        <v>345</v>
      </c>
      <c r="B131" s="24" t="s">
        <v>346</v>
      </c>
      <c r="I131" t="s">
        <v>786</v>
      </c>
      <c r="J131" t="s">
        <v>788</v>
      </c>
      <c r="L131" t="s">
        <v>1010</v>
      </c>
      <c r="M131">
        <v>610116001</v>
      </c>
    </row>
    <row r="132" spans="1:13" x14ac:dyDescent="0.25">
      <c r="A132" t="s">
        <v>177</v>
      </c>
      <c r="B132" s="24" t="s">
        <v>178</v>
      </c>
      <c r="I132" t="s">
        <v>789</v>
      </c>
      <c r="J132" t="s">
        <v>790</v>
      </c>
      <c r="L132" t="s">
        <v>1092</v>
      </c>
      <c r="M132">
        <v>610116002</v>
      </c>
    </row>
    <row r="133" spans="1:13" x14ac:dyDescent="0.25">
      <c r="A133" t="s">
        <v>347</v>
      </c>
      <c r="B133" s="24" t="s">
        <v>348</v>
      </c>
      <c r="I133" t="s">
        <v>789</v>
      </c>
      <c r="J133" t="s">
        <v>791</v>
      </c>
      <c r="L133" t="s">
        <v>1012</v>
      </c>
      <c r="M133">
        <v>610117001</v>
      </c>
    </row>
    <row r="134" spans="1:13" x14ac:dyDescent="0.25">
      <c r="A134" t="s">
        <v>349</v>
      </c>
      <c r="B134" s="24" t="s">
        <v>350</v>
      </c>
      <c r="I134" t="s">
        <v>792</v>
      </c>
      <c r="J134" t="s">
        <v>793</v>
      </c>
      <c r="L134" t="s">
        <v>1093</v>
      </c>
      <c r="M134">
        <v>610118001</v>
      </c>
    </row>
    <row r="135" spans="1:13" x14ac:dyDescent="0.25">
      <c r="A135" t="s">
        <v>28</v>
      </c>
      <c r="B135" s="24" t="s">
        <v>179</v>
      </c>
      <c r="I135" t="s">
        <v>792</v>
      </c>
      <c r="J135" t="s">
        <v>794</v>
      </c>
      <c r="L135" t="s">
        <v>951</v>
      </c>
      <c r="M135">
        <v>610120001</v>
      </c>
    </row>
    <row r="136" spans="1:13" x14ac:dyDescent="0.25">
      <c r="A136" t="s">
        <v>351</v>
      </c>
      <c r="B136" s="24" t="s">
        <v>352</v>
      </c>
      <c r="I136" t="s">
        <v>795</v>
      </c>
      <c r="J136" t="s">
        <v>796</v>
      </c>
      <c r="L136" t="s">
        <v>1053</v>
      </c>
      <c r="M136">
        <v>610121001</v>
      </c>
    </row>
    <row r="137" spans="1:13" x14ac:dyDescent="0.25">
      <c r="A137" t="s">
        <v>353</v>
      </c>
      <c r="B137" s="24" t="s">
        <v>354</v>
      </c>
      <c r="I137" t="s">
        <v>795</v>
      </c>
      <c r="J137" t="s">
        <v>797</v>
      </c>
      <c r="L137" t="s">
        <v>1036</v>
      </c>
      <c r="M137">
        <v>610122001</v>
      </c>
    </row>
    <row r="138" spans="1:13" x14ac:dyDescent="0.25">
      <c r="A138" t="s">
        <v>355</v>
      </c>
      <c r="B138" s="24" t="s">
        <v>356</v>
      </c>
      <c r="I138" t="s">
        <v>798</v>
      </c>
      <c r="J138" t="s">
        <v>799</v>
      </c>
      <c r="L138" t="s">
        <v>1037</v>
      </c>
      <c r="M138">
        <v>610122002</v>
      </c>
    </row>
    <row r="139" spans="1:13" x14ac:dyDescent="0.25">
      <c r="A139" t="s">
        <v>357</v>
      </c>
      <c r="B139" s="24" t="s">
        <v>358</v>
      </c>
      <c r="I139" t="s">
        <v>798</v>
      </c>
      <c r="J139" t="s">
        <v>800</v>
      </c>
      <c r="L139" t="s">
        <v>1038</v>
      </c>
      <c r="M139">
        <v>610122003</v>
      </c>
    </row>
    <row r="140" spans="1:13" x14ac:dyDescent="0.25">
      <c r="A140" t="s">
        <v>359</v>
      </c>
      <c r="B140" s="24" t="s">
        <v>360</v>
      </c>
      <c r="I140" t="s">
        <v>801</v>
      </c>
      <c r="J140" t="s">
        <v>802</v>
      </c>
      <c r="L140" t="s">
        <v>989</v>
      </c>
      <c r="M140">
        <v>610122004</v>
      </c>
    </row>
    <row r="141" spans="1:13" x14ac:dyDescent="0.25">
      <c r="A141" t="s">
        <v>361</v>
      </c>
      <c r="B141" s="24" t="s">
        <v>362</v>
      </c>
      <c r="I141" t="s">
        <v>801</v>
      </c>
      <c r="J141" t="s">
        <v>803</v>
      </c>
      <c r="L141" t="s">
        <v>990</v>
      </c>
      <c r="M141">
        <v>610122005</v>
      </c>
    </row>
    <row r="142" spans="1:13" x14ac:dyDescent="0.25">
      <c r="A142" t="s">
        <v>363</v>
      </c>
      <c r="B142" s="24" t="s">
        <v>364</v>
      </c>
      <c r="I142" t="s">
        <v>804</v>
      </c>
      <c r="J142" t="s">
        <v>805</v>
      </c>
      <c r="L142" t="s">
        <v>982</v>
      </c>
      <c r="M142">
        <v>610123001</v>
      </c>
    </row>
    <row r="143" spans="1:13" x14ac:dyDescent="0.25">
      <c r="A143" t="s">
        <v>365</v>
      </c>
      <c r="B143" s="24" t="s">
        <v>366</v>
      </c>
      <c r="I143" t="s">
        <v>804</v>
      </c>
      <c r="J143" t="s">
        <v>806</v>
      </c>
      <c r="L143" t="s">
        <v>1094</v>
      </c>
      <c r="M143">
        <v>610123002</v>
      </c>
    </row>
    <row r="144" spans="1:13" x14ac:dyDescent="0.25">
      <c r="A144" t="s">
        <v>26</v>
      </c>
      <c r="B144" s="24" t="s">
        <v>104</v>
      </c>
      <c r="I144" t="s">
        <v>807</v>
      </c>
      <c r="J144" t="s">
        <v>808</v>
      </c>
      <c r="L144" t="s">
        <v>1095</v>
      </c>
      <c r="M144">
        <v>610124001</v>
      </c>
    </row>
    <row r="145" spans="1:13" x14ac:dyDescent="0.25">
      <c r="A145" t="s">
        <v>367</v>
      </c>
      <c r="B145" s="24" t="s">
        <v>368</v>
      </c>
      <c r="I145" t="s">
        <v>807</v>
      </c>
      <c r="J145" t="s">
        <v>809</v>
      </c>
      <c r="L145" t="s">
        <v>1009</v>
      </c>
      <c r="M145">
        <v>610124002</v>
      </c>
    </row>
    <row r="146" spans="1:13" x14ac:dyDescent="0.25">
      <c r="A146" t="s">
        <v>41</v>
      </c>
      <c r="B146" s="24" t="s">
        <v>40</v>
      </c>
      <c r="I146" t="s">
        <v>810</v>
      </c>
      <c r="J146" t="s">
        <v>811</v>
      </c>
      <c r="L146" t="s">
        <v>1096</v>
      </c>
      <c r="M146">
        <v>610124003</v>
      </c>
    </row>
    <row r="147" spans="1:13" x14ac:dyDescent="0.25">
      <c r="A147" t="s">
        <v>369</v>
      </c>
      <c r="B147" s="24" t="s">
        <v>370</v>
      </c>
      <c r="I147" t="s">
        <v>810</v>
      </c>
      <c r="J147" t="s">
        <v>812</v>
      </c>
      <c r="L147" t="s">
        <v>1097</v>
      </c>
      <c r="M147">
        <v>610124004</v>
      </c>
    </row>
    <row r="148" spans="1:13" x14ac:dyDescent="0.25">
      <c r="A148" t="s">
        <v>371</v>
      </c>
      <c r="B148" s="24" t="s">
        <v>372</v>
      </c>
      <c r="I148" t="s">
        <v>813</v>
      </c>
      <c r="J148" t="s">
        <v>814</v>
      </c>
      <c r="L148" t="s">
        <v>1098</v>
      </c>
      <c r="M148">
        <v>610124005</v>
      </c>
    </row>
    <row r="149" spans="1:13" x14ac:dyDescent="0.25">
      <c r="A149" t="s">
        <v>81</v>
      </c>
      <c r="B149" s="24" t="s">
        <v>80</v>
      </c>
      <c r="I149" t="s">
        <v>813</v>
      </c>
      <c r="J149" t="s">
        <v>815</v>
      </c>
      <c r="L149" t="s">
        <v>1099</v>
      </c>
      <c r="M149">
        <v>610124006</v>
      </c>
    </row>
    <row r="150" spans="1:13" x14ac:dyDescent="0.25">
      <c r="A150" t="s">
        <v>373</v>
      </c>
      <c r="B150" s="24" t="s">
        <v>374</v>
      </c>
      <c r="I150" t="s">
        <v>816</v>
      </c>
      <c r="J150" t="s">
        <v>817</v>
      </c>
      <c r="L150" t="s">
        <v>26</v>
      </c>
      <c r="M150">
        <v>610125001</v>
      </c>
    </row>
    <row r="151" spans="1:13" x14ac:dyDescent="0.25">
      <c r="A151" t="s">
        <v>375</v>
      </c>
      <c r="B151" s="24" t="s">
        <v>376</v>
      </c>
      <c r="I151" t="s">
        <v>816</v>
      </c>
      <c r="J151" t="s">
        <v>818</v>
      </c>
      <c r="L151" t="s">
        <v>1100</v>
      </c>
      <c r="M151">
        <v>610125002</v>
      </c>
    </row>
    <row r="152" spans="1:13" x14ac:dyDescent="0.25">
      <c r="A152" t="s">
        <v>377</v>
      </c>
      <c r="B152" s="24" t="s">
        <v>378</v>
      </c>
      <c r="I152" t="s">
        <v>819</v>
      </c>
      <c r="J152" t="s">
        <v>820</v>
      </c>
      <c r="L152" t="s">
        <v>987</v>
      </c>
      <c r="M152">
        <v>610126001</v>
      </c>
    </row>
    <row r="153" spans="1:13" x14ac:dyDescent="0.25">
      <c r="A153" t="s">
        <v>379</v>
      </c>
      <c r="B153" s="24" t="s">
        <v>380</v>
      </c>
      <c r="I153" t="s">
        <v>819</v>
      </c>
      <c r="J153" t="s">
        <v>821</v>
      </c>
      <c r="L153" t="s">
        <v>1101</v>
      </c>
      <c r="M153">
        <v>610127001</v>
      </c>
    </row>
    <row r="154" spans="1:13" x14ac:dyDescent="0.25">
      <c r="A154" t="s">
        <v>381</v>
      </c>
      <c r="B154" s="24" t="s">
        <v>382</v>
      </c>
      <c r="I154" t="s">
        <v>822</v>
      </c>
      <c r="J154" t="s">
        <v>823</v>
      </c>
      <c r="L154" t="s">
        <v>1102</v>
      </c>
      <c r="M154">
        <v>610128001</v>
      </c>
    </row>
    <row r="155" spans="1:13" x14ac:dyDescent="0.25">
      <c r="A155" t="s">
        <v>383</v>
      </c>
      <c r="B155" s="24" t="s">
        <v>384</v>
      </c>
      <c r="I155" t="s">
        <v>822</v>
      </c>
      <c r="J155" t="s">
        <v>824</v>
      </c>
      <c r="L155" t="s">
        <v>1103</v>
      </c>
      <c r="M155">
        <v>610129001</v>
      </c>
    </row>
    <row r="156" spans="1:13" x14ac:dyDescent="0.25">
      <c r="A156" t="s">
        <v>385</v>
      </c>
      <c r="B156" s="24" t="s">
        <v>386</v>
      </c>
      <c r="I156" t="s">
        <v>825</v>
      </c>
      <c r="J156" t="s">
        <v>826</v>
      </c>
      <c r="L156" t="s">
        <v>1104</v>
      </c>
      <c r="M156">
        <v>610129002</v>
      </c>
    </row>
    <row r="157" spans="1:13" x14ac:dyDescent="0.25">
      <c r="A157" t="s">
        <v>387</v>
      </c>
      <c r="B157" s="24" t="s">
        <v>388</v>
      </c>
      <c r="I157" t="s">
        <v>825</v>
      </c>
      <c r="J157" t="s">
        <v>827</v>
      </c>
      <c r="L157" t="s">
        <v>1020</v>
      </c>
      <c r="M157">
        <v>610130001</v>
      </c>
    </row>
    <row r="158" spans="1:13" x14ac:dyDescent="0.25">
      <c r="A158" t="s">
        <v>389</v>
      </c>
      <c r="B158" s="24" t="s">
        <v>390</v>
      </c>
      <c r="I158" t="s">
        <v>828</v>
      </c>
      <c r="J158" t="s">
        <v>829</v>
      </c>
      <c r="L158" t="s">
        <v>983</v>
      </c>
      <c r="M158">
        <v>610132001</v>
      </c>
    </row>
    <row r="159" spans="1:13" x14ac:dyDescent="0.25">
      <c r="A159" t="s">
        <v>391</v>
      </c>
      <c r="B159" s="24" t="s">
        <v>392</v>
      </c>
      <c r="I159" t="s">
        <v>830</v>
      </c>
      <c r="J159" t="s">
        <v>831</v>
      </c>
      <c r="L159" t="s">
        <v>1105</v>
      </c>
      <c r="M159">
        <v>610133001</v>
      </c>
    </row>
    <row r="160" spans="1:13" x14ac:dyDescent="0.25">
      <c r="A160" t="s">
        <v>393</v>
      </c>
      <c r="B160" s="24" t="s">
        <v>394</v>
      </c>
      <c r="I160" t="s">
        <v>832</v>
      </c>
      <c r="J160" t="s">
        <v>833</v>
      </c>
      <c r="L160" t="s">
        <v>1106</v>
      </c>
      <c r="M160">
        <v>610133002</v>
      </c>
    </row>
    <row r="161" spans="1:13" x14ac:dyDescent="0.25">
      <c r="A161" t="s">
        <v>395</v>
      </c>
      <c r="B161" s="24" t="s">
        <v>396</v>
      </c>
      <c r="I161" t="s">
        <v>832</v>
      </c>
      <c r="J161" t="s">
        <v>834</v>
      </c>
      <c r="L161" t="s">
        <v>986</v>
      </c>
      <c r="M161">
        <v>610146001</v>
      </c>
    </row>
    <row r="162" spans="1:13" x14ac:dyDescent="0.25">
      <c r="A162" t="s">
        <v>397</v>
      </c>
      <c r="B162" s="24" t="s">
        <v>398</v>
      </c>
      <c r="I162" t="s">
        <v>835</v>
      </c>
      <c r="J162" t="s">
        <v>836</v>
      </c>
      <c r="L162" t="s">
        <v>1005</v>
      </c>
      <c r="M162">
        <v>610147000</v>
      </c>
    </row>
    <row r="163" spans="1:13" x14ac:dyDescent="0.25">
      <c r="A163" t="s">
        <v>399</v>
      </c>
      <c r="B163" s="24" t="s">
        <v>400</v>
      </c>
      <c r="I163" t="s">
        <v>837</v>
      </c>
      <c r="J163" t="s">
        <v>838</v>
      </c>
      <c r="L163" t="s">
        <v>23</v>
      </c>
      <c r="M163">
        <v>610148001</v>
      </c>
    </row>
    <row r="164" spans="1:13" x14ac:dyDescent="0.25">
      <c r="A164" t="s">
        <v>401</v>
      </c>
      <c r="B164" s="24" t="s">
        <v>402</v>
      </c>
      <c r="I164" t="s">
        <v>839</v>
      </c>
      <c r="J164" t="s">
        <v>840</v>
      </c>
      <c r="L164" t="s">
        <v>975</v>
      </c>
      <c r="M164">
        <v>610149001</v>
      </c>
    </row>
    <row r="165" spans="1:13" x14ac:dyDescent="0.25">
      <c r="A165" t="s">
        <v>403</v>
      </c>
      <c r="B165" s="24" t="s">
        <v>404</v>
      </c>
      <c r="I165" t="s">
        <v>839</v>
      </c>
      <c r="J165" t="s">
        <v>841</v>
      </c>
      <c r="L165" t="s">
        <v>1023</v>
      </c>
      <c r="M165">
        <v>610151001</v>
      </c>
    </row>
    <row r="166" spans="1:13" x14ac:dyDescent="0.25">
      <c r="A166" t="s">
        <v>405</v>
      </c>
      <c r="B166" s="24" t="s">
        <v>406</v>
      </c>
      <c r="I166" t="s">
        <v>842</v>
      </c>
      <c r="J166" t="s">
        <v>843</v>
      </c>
      <c r="L166" t="s">
        <v>1107</v>
      </c>
      <c r="M166">
        <v>610151002</v>
      </c>
    </row>
    <row r="167" spans="1:13" x14ac:dyDescent="0.25">
      <c r="A167" t="s">
        <v>407</v>
      </c>
      <c r="B167" s="24" t="s">
        <v>408</v>
      </c>
      <c r="I167" t="s">
        <v>844</v>
      </c>
      <c r="J167" t="s">
        <v>845</v>
      </c>
      <c r="L167" t="s">
        <v>1033</v>
      </c>
      <c r="M167">
        <v>610153001</v>
      </c>
    </row>
    <row r="168" spans="1:13" x14ac:dyDescent="0.25">
      <c r="A168" t="s">
        <v>409</v>
      </c>
      <c r="B168" s="24" t="s">
        <v>410</v>
      </c>
      <c r="I168" t="s">
        <v>846</v>
      </c>
      <c r="J168" t="s">
        <v>847</v>
      </c>
      <c r="L168" t="s">
        <v>958</v>
      </c>
      <c r="M168">
        <v>610156001</v>
      </c>
    </row>
    <row r="169" spans="1:13" x14ac:dyDescent="0.25">
      <c r="A169" t="s">
        <v>411</v>
      </c>
      <c r="B169" s="24" t="s">
        <v>412</v>
      </c>
      <c r="I169" t="s">
        <v>846</v>
      </c>
      <c r="J169" t="s">
        <v>848</v>
      </c>
      <c r="L169" t="s">
        <v>980</v>
      </c>
      <c r="M169">
        <v>610157001</v>
      </c>
    </row>
    <row r="170" spans="1:13" x14ac:dyDescent="0.25">
      <c r="A170" t="s">
        <v>411</v>
      </c>
      <c r="B170" s="24" t="s">
        <v>413</v>
      </c>
      <c r="I170" t="s">
        <v>849</v>
      </c>
      <c r="J170" t="s">
        <v>850</v>
      </c>
      <c r="L170" t="s">
        <v>1108</v>
      </c>
      <c r="M170">
        <v>610158001</v>
      </c>
    </row>
    <row r="171" spans="1:13" x14ac:dyDescent="0.25">
      <c r="A171" t="s">
        <v>414</v>
      </c>
      <c r="B171" s="24" t="s">
        <v>415</v>
      </c>
      <c r="I171" t="s">
        <v>849</v>
      </c>
      <c r="J171" t="s">
        <v>851</v>
      </c>
      <c r="L171" t="s">
        <v>997</v>
      </c>
      <c r="M171">
        <v>610166001</v>
      </c>
    </row>
    <row r="172" spans="1:13" x14ac:dyDescent="0.25">
      <c r="A172" t="s">
        <v>416</v>
      </c>
      <c r="B172" s="24" t="s">
        <v>417</v>
      </c>
      <c r="I172" t="s">
        <v>852</v>
      </c>
      <c r="J172" t="s">
        <v>853</v>
      </c>
      <c r="L172" t="s">
        <v>1040</v>
      </c>
      <c r="M172">
        <v>610168001</v>
      </c>
    </row>
    <row r="173" spans="1:13" x14ac:dyDescent="0.25">
      <c r="A173" t="s">
        <v>418</v>
      </c>
      <c r="B173" s="24" t="s">
        <v>419</v>
      </c>
      <c r="I173" t="s">
        <v>852</v>
      </c>
      <c r="J173" t="s">
        <v>854</v>
      </c>
      <c r="L173" t="s">
        <v>985</v>
      </c>
      <c r="M173">
        <v>610180001</v>
      </c>
    </row>
    <row r="174" spans="1:13" x14ac:dyDescent="0.25">
      <c r="A174" t="s">
        <v>420</v>
      </c>
      <c r="B174" s="24" t="s">
        <v>421</v>
      </c>
      <c r="I174" t="s">
        <v>855</v>
      </c>
      <c r="J174" t="s">
        <v>856</v>
      </c>
      <c r="L174" t="s">
        <v>1109</v>
      </c>
      <c r="M174">
        <v>610180002</v>
      </c>
    </row>
    <row r="175" spans="1:13" x14ac:dyDescent="0.25">
      <c r="A175" t="s">
        <v>422</v>
      </c>
      <c r="B175" s="24" t="s">
        <v>423</v>
      </c>
      <c r="I175" t="s">
        <v>855</v>
      </c>
      <c r="J175" t="s">
        <v>857</v>
      </c>
      <c r="L175" t="s">
        <v>979</v>
      </c>
      <c r="M175">
        <v>610180003</v>
      </c>
    </row>
    <row r="176" spans="1:13" x14ac:dyDescent="0.25">
      <c r="A176" t="s">
        <v>424</v>
      </c>
      <c r="B176" s="24" t="s">
        <v>425</v>
      </c>
      <c r="I176" t="s">
        <v>858</v>
      </c>
      <c r="J176" t="s">
        <v>859</v>
      </c>
      <c r="L176" t="s">
        <v>1110</v>
      </c>
      <c r="M176">
        <v>610182001</v>
      </c>
    </row>
    <row r="177" spans="1:13" x14ac:dyDescent="0.25">
      <c r="A177" t="s">
        <v>426</v>
      </c>
      <c r="B177" s="24" t="s">
        <v>427</v>
      </c>
      <c r="I177" t="s">
        <v>858</v>
      </c>
      <c r="J177" t="s">
        <v>860</v>
      </c>
      <c r="L177" t="s">
        <v>984</v>
      </c>
      <c r="M177">
        <v>610190001</v>
      </c>
    </row>
    <row r="178" spans="1:13" x14ac:dyDescent="0.25">
      <c r="A178" t="s">
        <v>428</v>
      </c>
      <c r="B178" s="24" t="s">
        <v>429</v>
      </c>
      <c r="I178" t="s">
        <v>861</v>
      </c>
      <c r="J178" t="s">
        <v>862</v>
      </c>
      <c r="L178" t="s">
        <v>932</v>
      </c>
      <c r="M178">
        <v>610191001</v>
      </c>
    </row>
    <row r="179" spans="1:13" x14ac:dyDescent="0.25">
      <c r="A179" t="s">
        <v>430</v>
      </c>
      <c r="B179" s="24" t="s">
        <v>431</v>
      </c>
      <c r="I179" t="s">
        <v>861</v>
      </c>
      <c r="J179" t="s">
        <v>863</v>
      </c>
      <c r="L179" t="s">
        <v>939</v>
      </c>
      <c r="M179">
        <v>610198001</v>
      </c>
    </row>
    <row r="180" spans="1:13" x14ac:dyDescent="0.25">
      <c r="A180" t="s">
        <v>432</v>
      </c>
      <c r="B180" s="24" t="s">
        <v>433</v>
      </c>
      <c r="I180" t="s">
        <v>864</v>
      </c>
      <c r="J180" t="s">
        <v>865</v>
      </c>
      <c r="L180" t="s">
        <v>1008</v>
      </c>
      <c r="M180">
        <v>610201001</v>
      </c>
    </row>
    <row r="181" spans="1:13" x14ac:dyDescent="0.25">
      <c r="A181" t="s">
        <v>434</v>
      </c>
      <c r="B181" s="24" t="s">
        <v>435</v>
      </c>
      <c r="I181" t="s">
        <v>864</v>
      </c>
      <c r="J181" t="s">
        <v>866</v>
      </c>
      <c r="L181" t="s">
        <v>1111</v>
      </c>
      <c r="M181">
        <v>610203001</v>
      </c>
    </row>
    <row r="182" spans="1:13" x14ac:dyDescent="0.25">
      <c r="A182" t="s">
        <v>436</v>
      </c>
      <c r="B182" s="24" t="s">
        <v>437</v>
      </c>
      <c r="I182" t="s">
        <v>867</v>
      </c>
      <c r="J182" t="s">
        <v>868</v>
      </c>
      <c r="L182" t="s">
        <v>1112</v>
      </c>
      <c r="M182">
        <v>610203002</v>
      </c>
    </row>
    <row r="183" spans="1:13" x14ac:dyDescent="0.25">
      <c r="A183" t="s">
        <v>438</v>
      </c>
      <c r="B183" s="24" t="s">
        <v>439</v>
      </c>
      <c r="I183" t="s">
        <v>867</v>
      </c>
      <c r="J183" t="s">
        <v>869</v>
      </c>
      <c r="L183" t="s">
        <v>1113</v>
      </c>
      <c r="M183">
        <v>610203003</v>
      </c>
    </row>
    <row r="184" spans="1:13" x14ac:dyDescent="0.25">
      <c r="A184" t="s">
        <v>440</v>
      </c>
      <c r="B184" s="24" t="s">
        <v>441</v>
      </c>
      <c r="I184" t="s">
        <v>870</v>
      </c>
      <c r="J184" t="s">
        <v>871</v>
      </c>
      <c r="L184" t="s">
        <v>1114</v>
      </c>
      <c r="M184">
        <v>610203004</v>
      </c>
    </row>
    <row r="185" spans="1:13" x14ac:dyDescent="0.25">
      <c r="A185" t="s">
        <v>442</v>
      </c>
      <c r="B185" s="24" t="s">
        <v>443</v>
      </c>
      <c r="I185" t="s">
        <v>870</v>
      </c>
      <c r="J185" t="s">
        <v>872</v>
      </c>
      <c r="L185" t="s">
        <v>1115</v>
      </c>
      <c r="M185">
        <v>610203005</v>
      </c>
    </row>
    <row r="186" spans="1:13" x14ac:dyDescent="0.25">
      <c r="A186" t="s">
        <v>71</v>
      </c>
      <c r="B186" s="24" t="s">
        <v>70</v>
      </c>
      <c r="I186" t="s">
        <v>873</v>
      </c>
      <c r="J186" t="s">
        <v>874</v>
      </c>
      <c r="L186" t="s">
        <v>941</v>
      </c>
      <c r="M186">
        <v>610301001</v>
      </c>
    </row>
    <row r="187" spans="1:13" x14ac:dyDescent="0.25">
      <c r="A187" t="s">
        <v>444</v>
      </c>
      <c r="B187" s="24" t="s">
        <v>445</v>
      </c>
      <c r="I187" t="s">
        <v>873</v>
      </c>
      <c r="J187" t="s">
        <v>875</v>
      </c>
      <c r="L187" t="s">
        <v>1042</v>
      </c>
      <c r="M187">
        <v>6104</v>
      </c>
    </row>
    <row r="188" spans="1:13" x14ac:dyDescent="0.25">
      <c r="A188" t="s">
        <v>446</v>
      </c>
      <c r="B188" s="24" t="s">
        <v>447</v>
      </c>
      <c r="I188" t="s">
        <v>876</v>
      </c>
      <c r="J188" t="s">
        <v>877</v>
      </c>
      <c r="L188" t="s">
        <v>1004</v>
      </c>
      <c r="M188">
        <v>610401001</v>
      </c>
    </row>
    <row r="189" spans="1:13" x14ac:dyDescent="0.25">
      <c r="A189" t="s">
        <v>448</v>
      </c>
      <c r="B189" s="24" t="s">
        <v>449</v>
      </c>
      <c r="I189" t="s">
        <v>876</v>
      </c>
      <c r="J189" t="s">
        <v>878</v>
      </c>
      <c r="L189" t="s">
        <v>1116</v>
      </c>
      <c r="M189">
        <v>720101002</v>
      </c>
    </row>
    <row r="190" spans="1:13" x14ac:dyDescent="0.25">
      <c r="A190" t="s">
        <v>450</v>
      </c>
      <c r="B190" s="24" t="s">
        <v>451</v>
      </c>
      <c r="I190" t="s">
        <v>879</v>
      </c>
      <c r="J190" t="s">
        <v>880</v>
      </c>
      <c r="L190" t="s">
        <v>1117</v>
      </c>
      <c r="M190">
        <v>720101011</v>
      </c>
    </row>
    <row r="191" spans="1:13" x14ac:dyDescent="0.25">
      <c r="A191" t="s">
        <v>452</v>
      </c>
      <c r="B191" s="24" t="s">
        <v>453</v>
      </c>
      <c r="I191" t="s">
        <v>879</v>
      </c>
      <c r="J191" t="s">
        <v>881</v>
      </c>
      <c r="L191" t="s">
        <v>1118</v>
      </c>
      <c r="M191">
        <v>720101014</v>
      </c>
    </row>
    <row r="192" spans="1:13" x14ac:dyDescent="0.25">
      <c r="A192" t="s">
        <v>454</v>
      </c>
      <c r="B192" s="24" t="s">
        <v>455</v>
      </c>
      <c r="I192" t="s">
        <v>882</v>
      </c>
      <c r="J192" t="s">
        <v>883</v>
      </c>
      <c r="L192" t="s">
        <v>1119</v>
      </c>
      <c r="M192">
        <v>720101017</v>
      </c>
    </row>
    <row r="193" spans="1:13" x14ac:dyDescent="0.25">
      <c r="A193" t="s">
        <v>456</v>
      </c>
      <c r="B193" s="24" t="s">
        <v>457</v>
      </c>
      <c r="I193" t="s">
        <v>884</v>
      </c>
      <c r="J193" t="s">
        <v>885</v>
      </c>
      <c r="L193" t="s">
        <v>1064</v>
      </c>
      <c r="M193">
        <v>720101028</v>
      </c>
    </row>
    <row r="194" spans="1:13" x14ac:dyDescent="0.25">
      <c r="A194" t="s">
        <v>458</v>
      </c>
      <c r="B194" s="24" t="s">
        <v>459</v>
      </c>
      <c r="I194" t="s">
        <v>884</v>
      </c>
      <c r="J194" t="s">
        <v>886</v>
      </c>
      <c r="L194" t="s">
        <v>1120</v>
      </c>
      <c r="M194">
        <v>720101031</v>
      </c>
    </row>
    <row r="195" spans="1:13" x14ac:dyDescent="0.25">
      <c r="A195" t="s">
        <v>460</v>
      </c>
      <c r="B195" s="24" t="s">
        <v>461</v>
      </c>
      <c r="I195" t="s">
        <v>887</v>
      </c>
      <c r="J195" t="s">
        <v>888</v>
      </c>
      <c r="L195" t="s">
        <v>1121</v>
      </c>
      <c r="M195">
        <v>720101033</v>
      </c>
    </row>
    <row r="196" spans="1:13" x14ac:dyDescent="0.25">
      <c r="A196" t="s">
        <v>462</v>
      </c>
      <c r="B196" s="24" t="s">
        <v>463</v>
      </c>
      <c r="I196" t="s">
        <v>889</v>
      </c>
      <c r="J196" t="s">
        <v>890</v>
      </c>
      <c r="L196" t="s">
        <v>1122</v>
      </c>
      <c r="M196">
        <v>720101098</v>
      </c>
    </row>
    <row r="197" spans="1:13" x14ac:dyDescent="0.25">
      <c r="A197" t="s">
        <v>464</v>
      </c>
      <c r="B197" s="24" t="s">
        <v>465</v>
      </c>
      <c r="I197" t="s">
        <v>889</v>
      </c>
      <c r="J197" t="s">
        <v>891</v>
      </c>
      <c r="L197" t="s">
        <v>1123</v>
      </c>
      <c r="M197">
        <v>720101099</v>
      </c>
    </row>
    <row r="198" spans="1:13" x14ac:dyDescent="0.25">
      <c r="A198" t="s">
        <v>466</v>
      </c>
      <c r="B198" s="24" t="s">
        <v>467</v>
      </c>
      <c r="I198" t="s">
        <v>892</v>
      </c>
      <c r="J198" t="s">
        <v>893</v>
      </c>
      <c r="L198" t="s">
        <v>1124</v>
      </c>
      <c r="M198">
        <v>730101001</v>
      </c>
    </row>
    <row r="199" spans="1:13" x14ac:dyDescent="0.25">
      <c r="A199" t="s">
        <v>60</v>
      </c>
      <c r="B199" s="24" t="s">
        <v>59</v>
      </c>
      <c r="I199" t="s">
        <v>892</v>
      </c>
      <c r="J199" t="s">
        <v>894</v>
      </c>
      <c r="L199" t="s">
        <v>1125</v>
      </c>
      <c r="M199">
        <v>730101002</v>
      </c>
    </row>
    <row r="200" spans="1:13" x14ac:dyDescent="0.25">
      <c r="A200" t="s">
        <v>468</v>
      </c>
      <c r="B200" s="24" t="s">
        <v>469</v>
      </c>
      <c r="I200" t="s">
        <v>895</v>
      </c>
      <c r="J200" t="s">
        <v>896</v>
      </c>
      <c r="L200" t="s">
        <v>958</v>
      </c>
      <c r="M200">
        <v>730101003</v>
      </c>
    </row>
    <row r="201" spans="1:13" x14ac:dyDescent="0.25">
      <c r="A201" t="s">
        <v>470</v>
      </c>
      <c r="B201" s="24" t="s">
        <v>471</v>
      </c>
      <c r="I201" t="s">
        <v>897</v>
      </c>
      <c r="J201" t="s">
        <v>898</v>
      </c>
      <c r="L201" t="s">
        <v>1126</v>
      </c>
      <c r="M201">
        <v>730101004</v>
      </c>
    </row>
    <row r="202" spans="1:13" x14ac:dyDescent="0.25">
      <c r="A202" t="s">
        <v>472</v>
      </c>
      <c r="B202" s="24" t="s">
        <v>473</v>
      </c>
      <c r="I202" t="s">
        <v>899</v>
      </c>
      <c r="J202" t="s">
        <v>900</v>
      </c>
      <c r="L202" t="s">
        <v>1038</v>
      </c>
      <c r="M202">
        <v>730101005</v>
      </c>
    </row>
    <row r="203" spans="1:13" x14ac:dyDescent="0.25">
      <c r="A203" t="s">
        <v>474</v>
      </c>
      <c r="B203" s="24" t="s">
        <v>475</v>
      </c>
      <c r="I203" t="s">
        <v>901</v>
      </c>
      <c r="J203" t="s">
        <v>902</v>
      </c>
      <c r="L203" t="s">
        <v>1127</v>
      </c>
      <c r="M203">
        <v>730101006</v>
      </c>
    </row>
    <row r="204" spans="1:13" x14ac:dyDescent="0.25">
      <c r="A204" t="s">
        <v>476</v>
      </c>
      <c r="B204" s="24" t="s">
        <v>477</v>
      </c>
      <c r="I204" t="s">
        <v>901</v>
      </c>
      <c r="J204" t="s">
        <v>903</v>
      </c>
      <c r="L204" t="s">
        <v>1095</v>
      </c>
      <c r="M204">
        <v>730101007</v>
      </c>
    </row>
    <row r="205" spans="1:13" x14ac:dyDescent="0.25">
      <c r="A205" t="s">
        <v>478</v>
      </c>
      <c r="B205" s="24" t="s">
        <v>479</v>
      </c>
      <c r="I205" t="s">
        <v>904</v>
      </c>
      <c r="J205" t="s">
        <v>905</v>
      </c>
      <c r="L205" t="s">
        <v>1009</v>
      </c>
      <c r="M205">
        <v>730101008</v>
      </c>
    </row>
    <row r="206" spans="1:13" x14ac:dyDescent="0.25">
      <c r="A206" t="s">
        <v>480</v>
      </c>
      <c r="B206" s="24" t="s">
        <v>481</v>
      </c>
      <c r="I206" t="s">
        <v>906</v>
      </c>
      <c r="J206" t="s">
        <v>907</v>
      </c>
      <c r="L206" t="s">
        <v>1096</v>
      </c>
      <c r="M206">
        <v>730101009</v>
      </c>
    </row>
    <row r="207" spans="1:13" x14ac:dyDescent="0.25">
      <c r="A207" t="s">
        <v>482</v>
      </c>
      <c r="B207" s="24" t="s">
        <v>483</v>
      </c>
      <c r="I207" t="s">
        <v>906</v>
      </c>
      <c r="J207" t="s">
        <v>908</v>
      </c>
      <c r="L207" t="s">
        <v>1097</v>
      </c>
      <c r="M207">
        <v>730101010</v>
      </c>
    </row>
    <row r="208" spans="1:13" x14ac:dyDescent="0.25">
      <c r="A208" t="s">
        <v>484</v>
      </c>
      <c r="B208" s="24" t="s">
        <v>485</v>
      </c>
      <c r="I208" t="s">
        <v>909</v>
      </c>
      <c r="J208" t="s">
        <v>910</v>
      </c>
      <c r="L208" t="s">
        <v>1098</v>
      </c>
      <c r="M208">
        <v>730101011</v>
      </c>
    </row>
    <row r="209" spans="1:13" x14ac:dyDescent="0.25">
      <c r="A209" t="s">
        <v>486</v>
      </c>
      <c r="B209" s="24" t="s">
        <v>487</v>
      </c>
      <c r="I209" t="s">
        <v>909</v>
      </c>
      <c r="J209" t="s">
        <v>911</v>
      </c>
      <c r="L209" t="s">
        <v>1099</v>
      </c>
      <c r="M209">
        <v>730101012</v>
      </c>
    </row>
    <row r="210" spans="1:13" x14ac:dyDescent="0.25">
      <c r="A210" t="s">
        <v>488</v>
      </c>
      <c r="B210" s="24" t="s">
        <v>489</v>
      </c>
      <c r="I210" t="s">
        <v>912</v>
      </c>
      <c r="J210" t="s">
        <v>913</v>
      </c>
      <c r="L210" t="s">
        <v>1053</v>
      </c>
      <c r="M210">
        <v>730101013</v>
      </c>
    </row>
    <row r="211" spans="1:13" x14ac:dyDescent="0.25">
      <c r="A211" t="s">
        <v>490</v>
      </c>
      <c r="B211" s="24" t="s">
        <v>491</v>
      </c>
      <c r="I211" t="s">
        <v>912</v>
      </c>
      <c r="J211" t="s">
        <v>914</v>
      </c>
      <c r="L211" t="s">
        <v>122</v>
      </c>
      <c r="M211">
        <v>730101014</v>
      </c>
    </row>
    <row r="212" spans="1:13" x14ac:dyDescent="0.25">
      <c r="A212" t="s">
        <v>492</v>
      </c>
      <c r="B212" s="24" t="s">
        <v>493</v>
      </c>
      <c r="I212" t="s">
        <v>915</v>
      </c>
      <c r="J212" t="s">
        <v>916</v>
      </c>
      <c r="L212" t="s">
        <v>1022</v>
      </c>
      <c r="M212">
        <v>730101015</v>
      </c>
    </row>
    <row r="213" spans="1:13" x14ac:dyDescent="0.25">
      <c r="A213" t="s">
        <v>494</v>
      </c>
      <c r="B213" s="24" t="s">
        <v>495</v>
      </c>
      <c r="I213" t="s">
        <v>915</v>
      </c>
      <c r="J213" t="s">
        <v>917</v>
      </c>
      <c r="L213" t="s">
        <v>1128</v>
      </c>
      <c r="M213">
        <v>730101016</v>
      </c>
    </row>
    <row r="214" spans="1:13" x14ac:dyDescent="0.25">
      <c r="A214" t="s">
        <v>496</v>
      </c>
      <c r="B214" s="24" t="s">
        <v>497</v>
      </c>
      <c r="I214" t="s">
        <v>918</v>
      </c>
      <c r="J214" t="s">
        <v>919</v>
      </c>
      <c r="L214" t="s">
        <v>1129</v>
      </c>
      <c r="M214">
        <v>730101017</v>
      </c>
    </row>
    <row r="215" spans="1:13" x14ac:dyDescent="0.25">
      <c r="A215" t="s">
        <v>498</v>
      </c>
      <c r="B215" s="24" t="s">
        <v>499</v>
      </c>
      <c r="I215" t="s">
        <v>918</v>
      </c>
      <c r="J215" t="s">
        <v>920</v>
      </c>
      <c r="L215" t="s">
        <v>987</v>
      </c>
      <c r="M215">
        <v>730101018</v>
      </c>
    </row>
    <row r="216" spans="1:13" x14ac:dyDescent="0.25">
      <c r="A216" t="s">
        <v>500</v>
      </c>
      <c r="B216" s="24" t="s">
        <v>501</v>
      </c>
      <c r="I216" t="s">
        <v>921</v>
      </c>
      <c r="J216" t="s">
        <v>922</v>
      </c>
      <c r="L216" t="s">
        <v>1040</v>
      </c>
      <c r="M216">
        <v>730101019</v>
      </c>
    </row>
    <row r="217" spans="1:13" x14ac:dyDescent="0.25">
      <c r="A217" t="s">
        <v>502</v>
      </c>
      <c r="B217" s="24" t="s">
        <v>503</v>
      </c>
      <c r="I217" t="s">
        <v>921</v>
      </c>
      <c r="J217" t="s">
        <v>923</v>
      </c>
      <c r="L217" t="s">
        <v>1092</v>
      </c>
      <c r="M217">
        <v>730101020</v>
      </c>
    </row>
    <row r="218" spans="1:13" x14ac:dyDescent="0.25">
      <c r="A218" t="s">
        <v>504</v>
      </c>
      <c r="B218" s="24" t="s">
        <v>505</v>
      </c>
      <c r="I218" t="s">
        <v>924</v>
      </c>
      <c r="J218" t="s">
        <v>925</v>
      </c>
      <c r="L218" t="s">
        <v>64</v>
      </c>
      <c r="M218">
        <v>730101021</v>
      </c>
    </row>
    <row r="219" spans="1:13" x14ac:dyDescent="0.25">
      <c r="A219" t="s">
        <v>506</v>
      </c>
      <c r="B219" s="24" t="s">
        <v>507</v>
      </c>
      <c r="I219" t="s">
        <v>924</v>
      </c>
      <c r="J219" t="s">
        <v>926</v>
      </c>
      <c r="L219" t="s">
        <v>978</v>
      </c>
      <c r="M219">
        <v>730101022</v>
      </c>
    </row>
    <row r="220" spans="1:13" x14ac:dyDescent="0.25">
      <c r="A220" t="s">
        <v>508</v>
      </c>
      <c r="B220" s="24" t="s">
        <v>509</v>
      </c>
      <c r="I220" t="s">
        <v>927</v>
      </c>
      <c r="J220" t="s">
        <v>928</v>
      </c>
      <c r="L220" t="s">
        <v>1102</v>
      </c>
      <c r="M220">
        <v>730101023</v>
      </c>
    </row>
    <row r="221" spans="1:13" x14ac:dyDescent="0.25">
      <c r="A221" t="s">
        <v>510</v>
      </c>
      <c r="B221" s="24" t="s">
        <v>511</v>
      </c>
      <c r="I221" t="s">
        <v>927</v>
      </c>
      <c r="J221" t="s">
        <v>929</v>
      </c>
      <c r="L221" t="s">
        <v>1130</v>
      </c>
      <c r="M221">
        <v>730101024</v>
      </c>
    </row>
    <row r="222" spans="1:13" x14ac:dyDescent="0.25">
      <c r="A222" t="s">
        <v>44</v>
      </c>
      <c r="B222" s="24" t="s">
        <v>43</v>
      </c>
      <c r="I222" t="s">
        <v>930</v>
      </c>
      <c r="J222" t="s">
        <v>931</v>
      </c>
      <c r="L222" t="s">
        <v>26</v>
      </c>
      <c r="M222">
        <v>730101025</v>
      </c>
    </row>
    <row r="223" spans="1:13" x14ac:dyDescent="0.25">
      <c r="A223" t="s">
        <v>512</v>
      </c>
      <c r="B223" s="24" t="s">
        <v>513</v>
      </c>
      <c r="I223" t="s">
        <v>932</v>
      </c>
      <c r="J223" t="s">
        <v>933</v>
      </c>
      <c r="L223" t="s">
        <v>1013</v>
      </c>
      <c r="M223">
        <v>730101026</v>
      </c>
    </row>
    <row r="224" spans="1:13" x14ac:dyDescent="0.25">
      <c r="A224" t="s">
        <v>514</v>
      </c>
      <c r="B224" s="24" t="s">
        <v>176</v>
      </c>
      <c r="I224" t="s">
        <v>932</v>
      </c>
      <c r="J224" t="s">
        <v>934</v>
      </c>
      <c r="L224" t="s">
        <v>1010</v>
      </c>
      <c r="M224">
        <v>730101027</v>
      </c>
    </row>
    <row r="225" spans="1:13" x14ac:dyDescent="0.25">
      <c r="A225" t="s">
        <v>108</v>
      </c>
      <c r="B225" s="24" t="s">
        <v>107</v>
      </c>
      <c r="I225" t="s">
        <v>935</v>
      </c>
      <c r="J225" t="s">
        <v>936</v>
      </c>
      <c r="L225" t="s">
        <v>1131</v>
      </c>
      <c r="M225">
        <v>730101028</v>
      </c>
    </row>
    <row r="226" spans="1:13" x14ac:dyDescent="0.25">
      <c r="A226" t="s">
        <v>515</v>
      </c>
      <c r="B226" s="24" t="s">
        <v>516</v>
      </c>
      <c r="L226" t="s">
        <v>1132</v>
      </c>
      <c r="M226">
        <v>730101029</v>
      </c>
    </row>
    <row r="227" spans="1:13" x14ac:dyDescent="0.25">
      <c r="A227" t="s">
        <v>515</v>
      </c>
      <c r="B227" s="24" t="s">
        <v>517</v>
      </c>
      <c r="L227" t="s">
        <v>1133</v>
      </c>
      <c r="M227">
        <v>730101030</v>
      </c>
    </row>
    <row r="228" spans="1:13" x14ac:dyDescent="0.25">
      <c r="A228" t="s">
        <v>518</v>
      </c>
      <c r="B228" s="24" t="s">
        <v>519</v>
      </c>
      <c r="L228" t="s">
        <v>1134</v>
      </c>
      <c r="M228">
        <v>730101031</v>
      </c>
    </row>
    <row r="229" spans="1:13" x14ac:dyDescent="0.25">
      <c r="A229" t="s">
        <v>520</v>
      </c>
      <c r="B229" s="24" t="s">
        <v>521</v>
      </c>
      <c r="L229" t="s">
        <v>1135</v>
      </c>
      <c r="M229">
        <v>730101032</v>
      </c>
    </row>
    <row r="230" spans="1:13" x14ac:dyDescent="0.25">
      <c r="A230" t="s">
        <v>522</v>
      </c>
      <c r="B230" s="24" t="s">
        <v>523</v>
      </c>
      <c r="L230" t="s">
        <v>1136</v>
      </c>
      <c r="M230">
        <v>730101033</v>
      </c>
    </row>
    <row r="231" spans="1:13" x14ac:dyDescent="0.25">
      <c r="A231" t="s">
        <v>524</v>
      </c>
      <c r="B231" s="24" t="s">
        <v>525</v>
      </c>
      <c r="L231" t="s">
        <v>1137</v>
      </c>
      <c r="M231">
        <v>730101034</v>
      </c>
    </row>
    <row r="232" spans="1:13" x14ac:dyDescent="0.25">
      <c r="A232" t="s">
        <v>97</v>
      </c>
      <c r="B232" s="24" t="s">
        <v>96</v>
      </c>
      <c r="L232" t="s">
        <v>1138</v>
      </c>
      <c r="M232">
        <v>730101035</v>
      </c>
    </row>
    <row r="233" spans="1:13" x14ac:dyDescent="0.25">
      <c r="A233" t="s">
        <v>38</v>
      </c>
      <c r="B233" s="24" t="s">
        <v>37</v>
      </c>
      <c r="L233" t="s">
        <v>1139</v>
      </c>
      <c r="M233">
        <v>730101036</v>
      </c>
    </row>
    <row r="234" spans="1:13" x14ac:dyDescent="0.25">
      <c r="A234" t="s">
        <v>46</v>
      </c>
      <c r="B234" s="24" t="s">
        <v>45</v>
      </c>
      <c r="L234" t="s">
        <v>1140</v>
      </c>
      <c r="M234">
        <v>730101037</v>
      </c>
    </row>
    <row r="235" spans="1:13" x14ac:dyDescent="0.25">
      <c r="A235" t="s">
        <v>526</v>
      </c>
      <c r="B235" s="24" t="s">
        <v>527</v>
      </c>
      <c r="L235" t="s">
        <v>1004</v>
      </c>
      <c r="M235">
        <v>730101038</v>
      </c>
    </row>
    <row r="236" spans="1:13" x14ac:dyDescent="0.25">
      <c r="A236" t="s">
        <v>119</v>
      </c>
      <c r="B236" s="24" t="s">
        <v>118</v>
      </c>
      <c r="L236" t="s">
        <v>1089</v>
      </c>
      <c r="M236">
        <v>740101001</v>
      </c>
    </row>
    <row r="237" spans="1:13" x14ac:dyDescent="0.25">
      <c r="A237" t="s">
        <v>73</v>
      </c>
      <c r="B237" s="24" t="s">
        <v>72</v>
      </c>
      <c r="L237" t="s">
        <v>1141</v>
      </c>
      <c r="M237">
        <v>740101002</v>
      </c>
    </row>
    <row r="238" spans="1:13" x14ac:dyDescent="0.25">
      <c r="A238" t="s">
        <v>34</v>
      </c>
      <c r="B238" s="24" t="s">
        <v>33</v>
      </c>
      <c r="L238" t="s">
        <v>1142</v>
      </c>
      <c r="M238">
        <v>840101001</v>
      </c>
    </row>
    <row r="239" spans="1:13" x14ac:dyDescent="0.25">
      <c r="A239" t="s">
        <v>32</v>
      </c>
      <c r="B239" s="24" t="s">
        <v>30</v>
      </c>
      <c r="L239" t="s">
        <v>1141</v>
      </c>
      <c r="M239">
        <v>840101002</v>
      </c>
    </row>
    <row r="240" spans="1:13" x14ac:dyDescent="0.25">
      <c r="A240" t="s">
        <v>89</v>
      </c>
      <c r="B240" s="24" t="s">
        <v>88</v>
      </c>
      <c r="L240" t="s">
        <v>1143</v>
      </c>
      <c r="M240">
        <v>840101003</v>
      </c>
    </row>
    <row r="241" spans="1:2" x14ac:dyDescent="0.25">
      <c r="A241" t="s">
        <v>528</v>
      </c>
      <c r="B241" s="24" t="s">
        <v>529</v>
      </c>
    </row>
    <row r="242" spans="1:2" x14ac:dyDescent="0.25">
      <c r="A242" t="s">
        <v>530</v>
      </c>
      <c r="B242" s="24" t="s">
        <v>531</v>
      </c>
    </row>
    <row r="243" spans="1:2" x14ac:dyDescent="0.25">
      <c r="A243" t="s">
        <v>56</v>
      </c>
      <c r="B243" s="24" t="s">
        <v>55</v>
      </c>
    </row>
    <row r="244" spans="1:2" x14ac:dyDescent="0.25">
      <c r="A244" t="s">
        <v>532</v>
      </c>
      <c r="B244" s="24" t="s">
        <v>533</v>
      </c>
    </row>
    <row r="245" spans="1:2" x14ac:dyDescent="0.25">
      <c r="A245" t="s">
        <v>534</v>
      </c>
      <c r="B245" s="24" t="s">
        <v>535</v>
      </c>
    </row>
    <row r="246" spans="1:2" x14ac:dyDescent="0.25">
      <c r="A246" t="s">
        <v>536</v>
      </c>
      <c r="B246" s="24" t="s">
        <v>537</v>
      </c>
    </row>
    <row r="247" spans="1:2" x14ac:dyDescent="0.25">
      <c r="A247" t="s">
        <v>538</v>
      </c>
      <c r="B247" s="24" t="s">
        <v>539</v>
      </c>
    </row>
    <row r="248" spans="1:2" x14ac:dyDescent="0.25">
      <c r="A248" t="s">
        <v>540</v>
      </c>
      <c r="B248" s="24" t="s">
        <v>541</v>
      </c>
    </row>
    <row r="249" spans="1:2" x14ac:dyDescent="0.25">
      <c r="A249" t="s">
        <v>542</v>
      </c>
      <c r="B249" s="24" t="s">
        <v>543</v>
      </c>
    </row>
    <row r="250" spans="1:2" x14ac:dyDescent="0.25">
      <c r="A250" t="s">
        <v>67</v>
      </c>
      <c r="B250" s="24" t="s">
        <v>66</v>
      </c>
    </row>
    <row r="251" spans="1:2" x14ac:dyDescent="0.25">
      <c r="A251" t="s">
        <v>31</v>
      </c>
      <c r="B251" s="24" t="s">
        <v>109</v>
      </c>
    </row>
    <row r="252" spans="1:2" x14ac:dyDescent="0.25">
      <c r="A252" t="s">
        <v>544</v>
      </c>
      <c r="B252" s="24" t="s">
        <v>545</v>
      </c>
    </row>
    <row r="253" spans="1:2" x14ac:dyDescent="0.25">
      <c r="A253" t="s">
        <v>25</v>
      </c>
      <c r="B253" s="24" t="s">
        <v>42</v>
      </c>
    </row>
    <row r="254" spans="1:2" x14ac:dyDescent="0.25">
      <c r="A254" t="s">
        <v>36</v>
      </c>
      <c r="B254" s="24" t="s">
        <v>35</v>
      </c>
    </row>
    <row r="255" spans="1:2" x14ac:dyDescent="0.25">
      <c r="A255" t="s">
        <v>546</v>
      </c>
      <c r="B255" s="24" t="s">
        <v>547</v>
      </c>
    </row>
    <row r="256" spans="1:2" x14ac:dyDescent="0.25">
      <c r="A256" t="s">
        <v>548</v>
      </c>
      <c r="B256" s="24" t="s">
        <v>549</v>
      </c>
    </row>
    <row r="257" spans="1:2" x14ac:dyDescent="0.25">
      <c r="A257" t="s">
        <v>122</v>
      </c>
      <c r="B257" s="24" t="s">
        <v>29</v>
      </c>
    </row>
    <row r="258" spans="1:2" x14ac:dyDescent="0.25">
      <c r="A258" t="s">
        <v>101</v>
      </c>
      <c r="B258" s="24" t="s">
        <v>100</v>
      </c>
    </row>
    <row r="259" spans="1:2" x14ac:dyDescent="0.25">
      <c r="A259" t="s">
        <v>550</v>
      </c>
      <c r="B259" s="24" t="s">
        <v>551</v>
      </c>
    </row>
    <row r="260" spans="1:2" x14ac:dyDescent="0.25">
      <c r="A260" t="s">
        <v>50</v>
      </c>
      <c r="B260" s="24" t="s">
        <v>49</v>
      </c>
    </row>
    <row r="261" spans="1:2" x14ac:dyDescent="0.25">
      <c r="A261" t="s">
        <v>552</v>
      </c>
      <c r="B261" s="24" t="s">
        <v>553</v>
      </c>
    </row>
    <row r="262" spans="1:2" x14ac:dyDescent="0.25">
      <c r="A262" t="s">
        <v>554</v>
      </c>
      <c r="B262" s="24" t="s">
        <v>555</v>
      </c>
    </row>
    <row r="263" spans="1:2" x14ac:dyDescent="0.25">
      <c r="A263" t="s">
        <v>556</v>
      </c>
      <c r="B263" s="24" t="s">
        <v>557</v>
      </c>
    </row>
    <row r="264" spans="1:2" x14ac:dyDescent="0.25">
      <c r="A264" t="s">
        <v>558</v>
      </c>
      <c r="B264" s="24" t="s">
        <v>559</v>
      </c>
    </row>
    <row r="265" spans="1:2" x14ac:dyDescent="0.25">
      <c r="A265" t="s">
        <v>93</v>
      </c>
      <c r="B265" s="24" t="s">
        <v>92</v>
      </c>
    </row>
    <row r="266" spans="1:2" x14ac:dyDescent="0.25">
      <c r="A266" t="s">
        <v>75</v>
      </c>
      <c r="B266" s="24" t="s">
        <v>74</v>
      </c>
    </row>
    <row r="267" spans="1:2" x14ac:dyDescent="0.25">
      <c r="A267" t="s">
        <v>560</v>
      </c>
      <c r="B267" s="24" t="s">
        <v>561</v>
      </c>
    </row>
    <row r="268" spans="1:2" x14ac:dyDescent="0.25">
      <c r="A268" t="s">
        <v>64</v>
      </c>
      <c r="B268" s="24" t="s">
        <v>63</v>
      </c>
    </row>
    <row r="269" spans="1:2" x14ac:dyDescent="0.25">
      <c r="A269" t="s">
        <v>562</v>
      </c>
      <c r="B269" s="24" t="s">
        <v>563</v>
      </c>
    </row>
    <row r="270" spans="1:2" x14ac:dyDescent="0.25">
      <c r="A270" t="s">
        <v>52</v>
      </c>
      <c r="B270" s="24" t="s">
        <v>51</v>
      </c>
    </row>
    <row r="271" spans="1:2" x14ac:dyDescent="0.25">
      <c r="A271" t="s">
        <v>564</v>
      </c>
      <c r="B271" s="24" t="s">
        <v>565</v>
      </c>
    </row>
    <row r="272" spans="1:2" x14ac:dyDescent="0.25">
      <c r="A272" t="s">
        <v>566</v>
      </c>
      <c r="B272" s="24" t="s">
        <v>567</v>
      </c>
    </row>
    <row r="273" spans="1:2" x14ac:dyDescent="0.25">
      <c r="A273" t="s">
        <v>568</v>
      </c>
      <c r="B273" s="24" t="s">
        <v>569</v>
      </c>
    </row>
    <row r="274" spans="1:2" x14ac:dyDescent="0.25">
      <c r="A274" t="s">
        <v>570</v>
      </c>
      <c r="B274" s="24" t="s">
        <v>571</v>
      </c>
    </row>
    <row r="275" spans="1:2" x14ac:dyDescent="0.25">
      <c r="A275" t="s">
        <v>572</v>
      </c>
      <c r="B275" s="24" t="s">
        <v>573</v>
      </c>
    </row>
    <row r="276" spans="1:2" x14ac:dyDescent="0.25">
      <c r="A276" t="s">
        <v>574</v>
      </c>
      <c r="B276" s="24" t="s">
        <v>575</v>
      </c>
    </row>
    <row r="277" spans="1:2" x14ac:dyDescent="0.25">
      <c r="A277" t="s">
        <v>576</v>
      </c>
      <c r="B277" s="24" t="s">
        <v>577</v>
      </c>
    </row>
    <row r="278" spans="1:2" x14ac:dyDescent="0.25">
      <c r="A278" t="s">
        <v>578</v>
      </c>
      <c r="B278" s="24" t="s">
        <v>579</v>
      </c>
    </row>
    <row r="279" spans="1:2" x14ac:dyDescent="0.25">
      <c r="A279" t="s">
        <v>580</v>
      </c>
      <c r="B279" s="24" t="s">
        <v>581</v>
      </c>
    </row>
    <row r="280" spans="1:2" x14ac:dyDescent="0.25">
      <c r="A280" t="s">
        <v>582</v>
      </c>
      <c r="B280" s="24" t="s">
        <v>583</v>
      </c>
    </row>
    <row r="281" spans="1:2" x14ac:dyDescent="0.25">
      <c r="A281" t="s">
        <v>584</v>
      </c>
      <c r="B281" s="24" t="s">
        <v>585</v>
      </c>
    </row>
    <row r="282" spans="1:2" x14ac:dyDescent="0.25">
      <c r="A282" t="s">
        <v>586</v>
      </c>
      <c r="B282" s="24" t="s">
        <v>587</v>
      </c>
    </row>
  </sheetData>
  <autoFilter ref="I1:J225" xr:uid="{00000000-0001-0000-0100-000000000000}"/>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34"/>
  <sheetViews>
    <sheetView workbookViewId="0">
      <selection activeCell="C35" sqref="C35"/>
    </sheetView>
  </sheetViews>
  <sheetFormatPr baseColWidth="10" defaultRowHeight="15" x14ac:dyDescent="0.25"/>
  <sheetData>
    <row r="3" spans="2:3" ht="15.75" thickBot="1" x14ac:dyDescent="0.3">
      <c r="B3" s="26" t="s">
        <v>1</v>
      </c>
      <c r="C3" s="27" t="s">
        <v>12</v>
      </c>
    </row>
    <row r="4" spans="2:3" ht="15.75" thickBot="1" x14ac:dyDescent="0.3">
      <c r="B4" s="28">
        <v>46023</v>
      </c>
      <c r="C4" s="29">
        <v>301.37</v>
      </c>
    </row>
    <row r="5" spans="2:3" ht="15.75" thickBot="1" x14ac:dyDescent="0.3">
      <c r="B5" s="28">
        <v>46024</v>
      </c>
      <c r="C5" s="29">
        <v>301.37</v>
      </c>
    </row>
    <row r="6" spans="2:3" ht="15.75" thickBot="1" x14ac:dyDescent="0.3">
      <c r="B6" s="28">
        <v>46025</v>
      </c>
      <c r="C6" s="29">
        <v>304.68</v>
      </c>
    </row>
    <row r="7" spans="2:3" ht="15.75" thickBot="1" x14ac:dyDescent="0.3">
      <c r="B7" s="28">
        <v>46026</v>
      </c>
      <c r="C7" s="29">
        <v>304.68</v>
      </c>
    </row>
    <row r="8" spans="2:3" ht="15.75" thickBot="1" x14ac:dyDescent="0.3">
      <c r="B8" s="28">
        <v>46027</v>
      </c>
      <c r="C8" s="29">
        <v>304.68</v>
      </c>
    </row>
    <row r="9" spans="2:3" ht="15.75" thickBot="1" x14ac:dyDescent="0.3">
      <c r="B9" s="28">
        <v>46028</v>
      </c>
      <c r="C9" s="29">
        <v>308.14999999999998</v>
      </c>
    </row>
    <row r="10" spans="2:3" ht="15.75" thickBot="1" x14ac:dyDescent="0.3">
      <c r="B10" s="28">
        <v>46029</v>
      </c>
      <c r="C10" s="29">
        <v>311.88</v>
      </c>
    </row>
    <row r="11" spans="2:3" ht="15.75" thickBot="1" x14ac:dyDescent="0.3">
      <c r="B11" s="28">
        <v>46030</v>
      </c>
      <c r="C11" s="29">
        <v>321.02999999999997</v>
      </c>
    </row>
    <row r="12" spans="2:3" ht="15.75" thickBot="1" x14ac:dyDescent="0.3">
      <c r="B12" s="28">
        <v>46031</v>
      </c>
      <c r="C12" s="29">
        <v>325.39</v>
      </c>
    </row>
    <row r="13" spans="2:3" ht="15.75" thickBot="1" x14ac:dyDescent="0.3">
      <c r="B13" s="28">
        <v>46032</v>
      </c>
      <c r="C13" s="29">
        <v>330.38</v>
      </c>
    </row>
    <row r="14" spans="2:3" ht="15.75" thickBot="1" x14ac:dyDescent="0.3">
      <c r="B14" s="28">
        <v>46033</v>
      </c>
      <c r="C14" s="29">
        <v>330.38</v>
      </c>
    </row>
    <row r="15" spans="2:3" ht="15.75" thickBot="1" x14ac:dyDescent="0.3">
      <c r="B15" s="28">
        <v>46034</v>
      </c>
      <c r="C15" s="29">
        <v>330.38</v>
      </c>
    </row>
    <row r="16" spans="2:3" ht="15.75" thickBot="1" x14ac:dyDescent="0.3">
      <c r="B16" s="28">
        <v>46035</v>
      </c>
      <c r="C16" s="29">
        <v>330.38</v>
      </c>
    </row>
    <row r="17" spans="2:3" ht="15.75" thickBot="1" x14ac:dyDescent="0.3">
      <c r="B17" s="28">
        <v>46036</v>
      </c>
      <c r="C17" s="29">
        <v>336.46</v>
      </c>
    </row>
    <row r="18" spans="2:3" ht="15.75" thickBot="1" x14ac:dyDescent="0.3">
      <c r="B18" s="28">
        <v>46037</v>
      </c>
      <c r="C18" s="29">
        <v>339.15</v>
      </c>
    </row>
    <row r="19" spans="2:3" ht="15.75" thickBot="1" x14ac:dyDescent="0.3">
      <c r="B19" s="28">
        <v>46038</v>
      </c>
      <c r="C19" s="29">
        <v>341.74</v>
      </c>
    </row>
    <row r="20" spans="2:3" ht="15.75" thickBot="1" x14ac:dyDescent="0.3">
      <c r="B20" s="28">
        <v>46039</v>
      </c>
      <c r="C20" s="29">
        <v>344.51</v>
      </c>
    </row>
    <row r="21" spans="2:3" ht="15.75" thickBot="1" x14ac:dyDescent="0.3">
      <c r="B21" s="28">
        <v>46040</v>
      </c>
      <c r="C21" s="29">
        <v>344.51</v>
      </c>
    </row>
    <row r="22" spans="2:3" ht="15.75" thickBot="1" x14ac:dyDescent="0.3">
      <c r="B22" s="28">
        <v>46041</v>
      </c>
      <c r="C22" s="29">
        <v>344.51</v>
      </c>
    </row>
    <row r="23" spans="2:3" ht="15.75" thickBot="1" x14ac:dyDescent="0.3">
      <c r="B23" s="28">
        <v>46042</v>
      </c>
      <c r="C23" s="29">
        <v>344.51</v>
      </c>
    </row>
    <row r="24" spans="2:3" ht="15.75" thickBot="1" x14ac:dyDescent="0.3">
      <c r="B24" s="28">
        <v>46043</v>
      </c>
      <c r="C24" s="29">
        <v>347.26</v>
      </c>
    </row>
    <row r="25" spans="2:3" ht="15.75" thickBot="1" x14ac:dyDescent="0.3">
      <c r="B25" s="28">
        <v>46044</v>
      </c>
      <c r="C25" s="29">
        <v>349.93</v>
      </c>
    </row>
    <row r="26" spans="2:3" ht="15.75" thickBot="1" x14ac:dyDescent="0.3">
      <c r="B26" s="28">
        <v>46045</v>
      </c>
      <c r="C26" s="29">
        <v>352.71</v>
      </c>
    </row>
    <row r="27" spans="2:3" ht="15.75" thickBot="1" x14ac:dyDescent="0.3">
      <c r="B27" s="28">
        <v>46046</v>
      </c>
      <c r="C27" s="29">
        <v>355.55</v>
      </c>
    </row>
    <row r="28" spans="2:3" ht="15.75" thickBot="1" x14ac:dyDescent="0.3">
      <c r="B28" s="28">
        <v>46047</v>
      </c>
      <c r="C28" s="29">
        <v>355.55</v>
      </c>
    </row>
    <row r="29" spans="2:3" ht="15.75" thickBot="1" x14ac:dyDescent="0.3">
      <c r="B29" s="28">
        <v>46048</v>
      </c>
      <c r="C29" s="29">
        <v>355.55</v>
      </c>
    </row>
    <row r="30" spans="2:3" ht="15.75" thickBot="1" x14ac:dyDescent="0.3">
      <c r="B30" s="28">
        <v>46049</v>
      </c>
      <c r="C30" s="29">
        <v>358.92</v>
      </c>
    </row>
    <row r="31" spans="2:3" ht="15.75" thickBot="1" x14ac:dyDescent="0.3">
      <c r="B31" s="28">
        <v>46050</v>
      </c>
      <c r="C31" s="29">
        <v>361.49</v>
      </c>
    </row>
    <row r="32" spans="2:3" ht="15.75" thickBot="1" x14ac:dyDescent="0.3">
      <c r="B32" s="28">
        <v>46051</v>
      </c>
      <c r="C32" s="29">
        <v>363.66</v>
      </c>
    </row>
    <row r="33" spans="2:3" ht="15.75" thickBot="1" x14ac:dyDescent="0.3">
      <c r="B33" s="28">
        <v>46052</v>
      </c>
      <c r="C33" s="29">
        <v>367.31</v>
      </c>
    </row>
    <row r="34" spans="2:3" ht="15.75" thickBot="1" x14ac:dyDescent="0.3">
      <c r="B34" s="28">
        <v>46053</v>
      </c>
      <c r="C34" s="29">
        <v>370.25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AD71C2-CBCE-4865-8528-1AFACE54DE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GASTOS</vt:lpstr>
      <vt:lpstr>SAPROV (2)</vt:lpstr>
      <vt:lpstr>TASA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hanley borge</dc:creator>
  <cp:lastModifiedBy>Sidney Borge</cp:lastModifiedBy>
  <dcterms:created xsi:type="dcterms:W3CDTF">2025-12-13T13:57:11Z</dcterms:created>
  <dcterms:modified xsi:type="dcterms:W3CDTF">2026-03-05T20:52:47Z</dcterms:modified>
</cp:coreProperties>
</file>